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65042\Documents\Projects\Mass.Results.Export.ETL\"/>
    </mc:Choice>
  </mc:AlternateContent>
  <bookViews>
    <workbookView xWindow="0" yWindow="0" windowWidth="16950" windowHeight="6120"/>
  </bookViews>
  <sheets>
    <sheet name="QSIXL_MEASURE_DETAIL" sheetId="2" r:id="rId1"/>
    <sheet name="QSIXL_MEASURE_FLAGGED_EVENT" sheetId="3" r:id="rId2"/>
  </sheets>
  <definedNames>
    <definedName name="_xlnm._FilterDatabase" localSheetId="0" hidden="1">QSIXL_MEASURE_DETAIL!$A$1:$H$540</definedName>
    <definedName name="_xlnm._FilterDatabase" localSheetId="1" hidden="1">QSIXL_MEASURE_FLAGGED_EVENT!$B$1:$E$121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2" i="3"/>
  <c r="I108" i="2" l="1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2" i="2"/>
</calcChain>
</file>

<file path=xl/sharedStrings.xml><?xml version="1.0" encoding="utf-8"?>
<sst xmlns="http://schemas.openxmlformats.org/spreadsheetml/2006/main" count="3320" uniqueCount="1097">
  <si>
    <t>flowchart_run_id</t>
  </si>
  <si>
    <t>VARCHAR(2)</t>
  </si>
  <si>
    <t>measure_id</t>
  </si>
  <si>
    <t>VARCHAR(1)</t>
  </si>
  <si>
    <t>COMPRESS</t>
  </si>
  <si>
    <t>member_id</t>
  </si>
  <si>
    <t>VARCHAR(8)</t>
  </si>
  <si>
    <t>membername</t>
  </si>
  <si>
    <t>VARCHAR(100)</t>
  </si>
  <si>
    <t>memberkey</t>
  </si>
  <si>
    <t>VARCHAR(12)</t>
  </si>
  <si>
    <t>submeasure_key</t>
  </si>
  <si>
    <t>VARCHAR(10)</t>
  </si>
  <si>
    <t>member_enrollment_id</t>
  </si>
  <si>
    <t>clssdt</t>
  </si>
  <si>
    <t>VARCHAR(19)</t>
  </si>
  <si>
    <t>denomflg</t>
  </si>
  <si>
    <t>iesd</t>
  </si>
  <si>
    <t>numerflg</t>
  </si>
  <si>
    <t>suppdenom</t>
  </si>
  <si>
    <t>suppnumer</t>
  </si>
  <si>
    <t>spnumcnt</t>
  </si>
  <si>
    <t>denomcnt</t>
  </si>
  <si>
    <t>numercnt</t>
  </si>
  <si>
    <t>member_enrollment_key</t>
  </si>
  <si>
    <t>VARCHAR(80)</t>
  </si>
  <si>
    <t>coverage_begin_date</t>
  </si>
  <si>
    <t>coverage_end_date</t>
  </si>
  <si>
    <t>subscriber_key</t>
  </si>
  <si>
    <t>provider_key</t>
  </si>
  <si>
    <t>VARCHAR(13)</t>
  </si>
  <si>
    <t>provider_name</t>
  </si>
  <si>
    <t>mental_inpatient_flag</t>
  </si>
  <si>
    <t>mental_ambulatory_flag</t>
  </si>
  <si>
    <t>mental_day_night_flag</t>
  </si>
  <si>
    <t>chem_inpatient_flag</t>
  </si>
  <si>
    <t>chem_ambulatory_flag</t>
  </si>
  <si>
    <t>chem_day_night_flag</t>
  </si>
  <si>
    <t>dental_flag</t>
  </si>
  <si>
    <t>dm_eligible_flag</t>
  </si>
  <si>
    <t>hospice_flag</t>
  </si>
  <si>
    <t>rx_flag</t>
  </si>
  <si>
    <t>plan_employee_flag</t>
  </si>
  <si>
    <t>vision_flag</t>
  </si>
  <si>
    <t>dm_severity_factor</t>
  </si>
  <si>
    <t>payer_code</t>
  </si>
  <si>
    <t>product_code</t>
  </si>
  <si>
    <t>medicare_contract_code</t>
  </si>
  <si>
    <t>VARCHAR(5)</t>
  </si>
  <si>
    <t>reportingcategoryidentifier1</t>
  </si>
  <si>
    <t>VARCHAR(50)</t>
  </si>
  <si>
    <t>reportingcategoryidentifier2</t>
  </si>
  <si>
    <t>reportingcategoryidentifier3</t>
  </si>
  <si>
    <t>reportingcategoryidentifier4</t>
  </si>
  <si>
    <t>reportingcategoryidentifier5</t>
  </si>
  <si>
    <t>reportingcategoryidentifier6</t>
  </si>
  <si>
    <t>reportingcategoryidentifier7</t>
  </si>
  <si>
    <t>reportingcategoryidentifier8</t>
  </si>
  <si>
    <t>reportingcategoryidentifier9</t>
  </si>
  <si>
    <t>reportingcategoryidentifier10</t>
  </si>
  <si>
    <t>reportingcategoryidentifier11</t>
  </si>
  <si>
    <t>reportingcategoryidentifier12</t>
  </si>
  <si>
    <t>reportingcategoryidentifier13</t>
  </si>
  <si>
    <t>reportingcategoryidentifier14</t>
  </si>
  <si>
    <t>reportingcategoryidentifier15</t>
  </si>
  <si>
    <t>reportingcategoryidentifier16</t>
  </si>
  <si>
    <t>reportingcategoryidentifier17</t>
  </si>
  <si>
    <t>reportingcategoryidentifier18</t>
  </si>
  <si>
    <t>reportingcategoryidentifier19</t>
  </si>
  <si>
    <t>reportingcategoryidentifier20</t>
  </si>
  <si>
    <t>reportingcategoryidentifier21</t>
  </si>
  <si>
    <t>reportingcategoryidentifier22</t>
  </si>
  <si>
    <t>reportingcategoryidentifier23</t>
  </si>
  <si>
    <t>birth_date</t>
  </si>
  <si>
    <t>gender_code</t>
  </si>
  <si>
    <t>phone_number</t>
  </si>
  <si>
    <t>address_line_1</t>
  </si>
  <si>
    <t>address_line_2</t>
  </si>
  <si>
    <t>city</t>
  </si>
  <si>
    <t>VARCHAR(25)</t>
  </si>
  <si>
    <t>county</t>
  </si>
  <si>
    <t>state_code</t>
  </si>
  <si>
    <t>zip</t>
  </si>
  <si>
    <t>VARCHAR(9)</t>
  </si>
  <si>
    <t>medicare_id</t>
  </si>
  <si>
    <t>VARCHAR(30)</t>
  </si>
  <si>
    <t>medicaid_id</t>
  </si>
  <si>
    <t>member_altid1</t>
  </si>
  <si>
    <t>member_altid2</t>
  </si>
  <si>
    <t>member_altid3</t>
  </si>
  <si>
    <t>member_altid4</t>
  </si>
  <si>
    <t>member_altid5</t>
  </si>
  <si>
    <t>member_altid6</t>
  </si>
  <si>
    <t>race</t>
  </si>
  <si>
    <t>race_source</t>
  </si>
  <si>
    <t>ethnicity</t>
  </si>
  <si>
    <t>ethnicity_source</t>
  </si>
  <si>
    <t>language_spoken</t>
  </si>
  <si>
    <t>language_spoken_source</t>
  </si>
  <si>
    <t>language_written</t>
  </si>
  <si>
    <t>language_written_source</t>
  </si>
  <si>
    <t>language_other</t>
  </si>
  <si>
    <t>language_other_source</t>
  </si>
  <si>
    <t>provider_addressline1</t>
  </si>
  <si>
    <t>provider_addressline2</t>
  </si>
  <si>
    <t>provider_city</t>
  </si>
  <si>
    <t>VARCHAR(21)</t>
  </si>
  <si>
    <t>provider_statecode</t>
  </si>
  <si>
    <t>provider_zip</t>
  </si>
  <si>
    <t>provider_phonenumber1</t>
  </si>
  <si>
    <t>provider_phonenumber2</t>
  </si>
  <si>
    <t>provider_faxnumber1</t>
  </si>
  <si>
    <t>provider_alt_id1</t>
  </si>
  <si>
    <t>provider_alt_id2</t>
  </si>
  <si>
    <t>provider_alt_id3</t>
  </si>
  <si>
    <t>provider_alt_id4</t>
  </si>
  <si>
    <t>VARCHAR(3)</t>
  </si>
  <si>
    <t>provider_alt_id5</t>
  </si>
  <si>
    <t>provider_alt_id6</t>
  </si>
  <si>
    <t>provider_alt_id7</t>
  </si>
  <si>
    <t>provider_alt_id8</t>
  </si>
  <si>
    <t>facility_code</t>
  </si>
  <si>
    <t>plan_code</t>
  </si>
  <si>
    <t>VARCHAR(16)</t>
  </si>
  <si>
    <t>member_group_code</t>
  </si>
  <si>
    <t>MEASURE_KEY</t>
  </si>
  <si>
    <t>LOAD_DT</t>
  </si>
  <si>
    <t>DATE</t>
  </si>
  <si>
    <t>NOW_IND</t>
  </si>
  <si>
    <t>popval</t>
  </si>
  <si>
    <t>svcdt</t>
  </si>
  <si>
    <t>adcntflg</t>
  </si>
  <si>
    <t>adnumflg</t>
  </si>
  <si>
    <t>contrflg</t>
  </si>
  <si>
    <t>feflg</t>
  </si>
  <si>
    <t>mrcntflg</t>
  </si>
  <si>
    <t>mrexclind</t>
  </si>
  <si>
    <t>mrnumflg</t>
  </si>
  <si>
    <t>suppcontra</t>
  </si>
  <si>
    <t>adctrcnt</t>
  </si>
  <si>
    <t>adnumcnt</t>
  </si>
  <si>
    <t>contrcnt</t>
  </si>
  <si>
    <t>mrctrcnt</t>
  </si>
  <si>
    <t>mrnumcnt</t>
  </si>
  <si>
    <t>age</t>
  </si>
  <si>
    <t>amino</t>
  </si>
  <si>
    <t>amox</t>
  </si>
  <si>
    <t>azith</t>
  </si>
  <si>
    <t>ceph1</t>
  </si>
  <si>
    <t>ceph2</t>
  </si>
  <si>
    <t>clinda</t>
  </si>
  <si>
    <t>concern</t>
  </si>
  <si>
    <t>keto</t>
  </si>
  <si>
    <t>linco</t>
  </si>
  <si>
    <t>macro_</t>
  </si>
  <si>
    <t>miscc</t>
  </si>
  <si>
    <t>miscn</t>
  </si>
  <si>
    <t>penic</t>
  </si>
  <si>
    <t>quino</t>
  </si>
  <si>
    <t>sulfo</t>
  </si>
  <si>
    <t>supply</t>
  </si>
  <si>
    <t>tetra</t>
  </si>
  <si>
    <t>total</t>
  </si>
  <si>
    <t>cont</t>
  </si>
  <si>
    <t>indx</t>
  </si>
  <si>
    <t>init</t>
  </si>
  <si>
    <t>phone</t>
  </si>
  <si>
    <t>rxdays</t>
  </si>
  <si>
    <t>begin_</t>
  </si>
  <si>
    <t>end_</t>
  </si>
  <si>
    <t>new_</t>
  </si>
  <si>
    <t>srvc_ct</t>
  </si>
  <si>
    <t>atpedt</t>
  </si>
  <si>
    <t>cpedt</t>
  </si>
  <si>
    <t>ipbd</t>
  </si>
  <si>
    <t>ipd</t>
  </si>
  <si>
    <t>iped</t>
  </si>
  <si>
    <t>pyovct</t>
  </si>
  <si>
    <t>pyrxct</t>
  </si>
  <si>
    <t>ratio</t>
  </si>
  <si>
    <t>ryovct</t>
  </si>
  <si>
    <t>ryrxct</t>
  </si>
  <si>
    <t>totcontunit</t>
  </si>
  <si>
    <t>totrelunit</t>
  </si>
  <si>
    <t>begin1</t>
  </si>
  <si>
    <t>begin2</t>
  </si>
  <si>
    <t>condays1</t>
  </si>
  <si>
    <t>condays2</t>
  </si>
  <si>
    <t>conmed1</t>
  </si>
  <si>
    <t>VARCHAR(15)</t>
  </si>
  <si>
    <t>conmed2</t>
  </si>
  <si>
    <t>count_</t>
  </si>
  <si>
    <t>currdays2</t>
  </si>
  <si>
    <t>currdos2</t>
  </si>
  <si>
    <t>currdosthru2</t>
  </si>
  <si>
    <t>end1</t>
  </si>
  <si>
    <t>end2</t>
  </si>
  <si>
    <t>ext</t>
  </si>
  <si>
    <t>fnd</t>
  </si>
  <si>
    <t>lastdos2</t>
  </si>
  <si>
    <t>lastdosthru2</t>
  </si>
  <si>
    <t>newdays2</t>
  </si>
  <si>
    <t>newdos2</t>
  </si>
  <si>
    <t>newdosthru2</t>
  </si>
  <si>
    <t>srvc</t>
  </si>
  <si>
    <t>supp_cholestrol</t>
  </si>
  <si>
    <t>supp_glucose</t>
  </si>
  <si>
    <t>svcdt_chol</t>
  </si>
  <si>
    <t>svcdt_glhb</t>
  </si>
  <si>
    <t>ipsd</t>
  </si>
  <si>
    <t>disch_dt</t>
  </si>
  <si>
    <t>visits</t>
  </si>
  <si>
    <t>last_comp_dt</t>
  </si>
  <si>
    <t>ltmastct</t>
  </si>
  <si>
    <t>ltmastdate</t>
  </si>
  <si>
    <t>mastdate</t>
  </si>
  <si>
    <t>rtmastct</t>
  </si>
  <si>
    <t>rtmastdate</t>
  </si>
  <si>
    <t>age_ryend</t>
  </si>
  <si>
    <t>date1</t>
  </si>
  <si>
    <t>date2</t>
  </si>
  <si>
    <t>date3</t>
  </si>
  <si>
    <t>date4</t>
  </si>
  <si>
    <t>diabetic</t>
  </si>
  <si>
    <t>flag1</t>
  </si>
  <si>
    <t>lastbp</t>
  </si>
  <si>
    <t>lastbp_dia</t>
  </si>
  <si>
    <t>lastbp_sys</t>
  </si>
  <si>
    <t>mrnodiab</t>
  </si>
  <si>
    <t>nadvct</t>
  </si>
  <si>
    <t>text1</t>
  </si>
  <si>
    <t>VARCHAR(7)</t>
  </si>
  <si>
    <t>svcdt_hpv</t>
  </si>
  <si>
    <t>svcdt_pap</t>
  </si>
  <si>
    <t>ceidfg</t>
  </si>
  <si>
    <t>cpt3045f</t>
  </si>
  <si>
    <t>hbrslt</t>
  </si>
  <si>
    <t>hbtest</t>
  </si>
  <si>
    <t>lastbp_fnd</t>
  </si>
  <si>
    <t>lasthb_val</t>
  </si>
  <si>
    <t>rxidfg</t>
  </si>
  <si>
    <t>dct</t>
  </si>
  <si>
    <t>fluct</t>
  </si>
  <si>
    <t>hepact</t>
  </si>
  <si>
    <t>hepbct</t>
  </si>
  <si>
    <t>hibct</t>
  </si>
  <si>
    <t>ipvct</t>
  </si>
  <si>
    <t>mmrct</t>
  </si>
  <si>
    <t>pnuct</t>
  </si>
  <si>
    <t>rot2ct</t>
  </si>
  <si>
    <t>rot3ct</t>
  </si>
  <si>
    <t>vzvct</t>
  </si>
  <si>
    <t>aspage</t>
  </si>
  <si>
    <t>curpay</t>
  </si>
  <si>
    <t>curprd</t>
  </si>
  <si>
    <t>fluflg</t>
  </si>
  <si>
    <t>ryeprd</t>
  </si>
  <si>
    <t>ryepyr</t>
  </si>
  <si>
    <t>ryepay</t>
  </si>
  <si>
    <t>spneed</t>
  </si>
  <si>
    <t>rxfnd</t>
  </si>
  <si>
    <t>currdose</t>
  </si>
  <si>
    <t>newdose</t>
  </si>
  <si>
    <t>rxbsct</t>
  </si>
  <si>
    <t>rxbscts</t>
  </si>
  <si>
    <t>rxcsct</t>
  </si>
  <si>
    <t>rxcscts</t>
  </si>
  <si>
    <t>rxsply</t>
  </si>
  <si>
    <t>VARCHAR(4)</t>
  </si>
  <si>
    <t>rxsplys</t>
  </si>
  <si>
    <t>total_dose_supp</t>
  </si>
  <si>
    <t>iesd_score</t>
  </si>
  <si>
    <t>rem_score</t>
  </si>
  <si>
    <t>rep_score</t>
  </si>
  <si>
    <t>cnt_</t>
  </si>
  <si>
    <t>state</t>
  </si>
  <si>
    <t>agesex_ppv_wt</t>
  </si>
  <si>
    <t>agesex_pucv_wt</t>
  </si>
  <si>
    <t>VARCHAR(6)</t>
  </si>
  <si>
    <t>assigned_payer</t>
  </si>
  <si>
    <t>base_ppv_wt</t>
  </si>
  <si>
    <t>base_pucv_wt</t>
  </si>
  <si>
    <t>elig_1000</t>
  </si>
  <si>
    <t>eligible</t>
  </si>
  <si>
    <t>exp_ed_cnt</t>
  </si>
  <si>
    <t>hcc_ppv_wt</t>
  </si>
  <si>
    <t>hcc_pucv_wt</t>
  </si>
  <si>
    <t>mpayer</t>
  </si>
  <si>
    <t>obs_ed_cnt</t>
  </si>
  <si>
    <t>ppv</t>
  </si>
  <si>
    <t>ppv_wt</t>
  </si>
  <si>
    <t>pucv</t>
  </si>
  <si>
    <t>pucv_wt</t>
  </si>
  <si>
    <t>supp_ed_cnt</t>
  </si>
  <si>
    <t>tpbeg</t>
  </si>
  <si>
    <t>tpend</t>
  </si>
  <si>
    <t>enrlcnt</t>
  </si>
  <si>
    <t>date5</t>
  </si>
  <si>
    <t>VARCHAR(40)</t>
  </si>
  <si>
    <t>epcvct</t>
  </si>
  <si>
    <t>linkdt</t>
  </si>
  <si>
    <t>num1</t>
  </si>
  <si>
    <t>pncvct</t>
  </si>
  <si>
    <t>vstrat</t>
  </si>
  <si>
    <t>adm_dt</t>
  </si>
  <si>
    <t>dis_dt</t>
  </si>
  <si>
    <t>ph1</t>
  </si>
  <si>
    <t>ph2</t>
  </si>
  <si>
    <t>ph3</t>
  </si>
  <si>
    <t>ph4</t>
  </si>
  <si>
    <t>ph5</t>
  </si>
  <si>
    <t>ph6</t>
  </si>
  <si>
    <t>provid</t>
  </si>
  <si>
    <t>acsc_acute</t>
  </si>
  <si>
    <t>acsc_chronic</t>
  </si>
  <si>
    <t>acsc_total</t>
  </si>
  <si>
    <t>acute_agesex_ppd</t>
  </si>
  <si>
    <t>acute_agesex_pucd</t>
  </si>
  <si>
    <t>acute_hcc_ppd</t>
  </si>
  <si>
    <t>acute_hcc_pucd</t>
  </si>
  <si>
    <t>agesex_ppd_wt</t>
  </si>
  <si>
    <t>agesex_pucd_wt</t>
  </si>
  <si>
    <t>base_acute_ppd_wt</t>
  </si>
  <si>
    <t>base_acute_pucd_wt</t>
  </si>
  <si>
    <t>base_chronic_ppd_wt</t>
  </si>
  <si>
    <t>base_chronic_pucd_wt</t>
  </si>
  <si>
    <t>base_tot_ppd_wt</t>
  </si>
  <si>
    <t>base_tot_pucd_wt</t>
  </si>
  <si>
    <t>chronic_agesex_ppd</t>
  </si>
  <si>
    <t>chronic_agesex_pucd</t>
  </si>
  <si>
    <t>chronic_hcc_ppd</t>
  </si>
  <si>
    <t>chronic_hcc_pucd</t>
  </si>
  <si>
    <t>exp_hosp_cnt</t>
  </si>
  <si>
    <t>index_admit_dt</t>
  </si>
  <si>
    <t>index_disch_dt</t>
  </si>
  <si>
    <t>obs_hosp_cnt</t>
  </si>
  <si>
    <t>ppd_acute</t>
  </si>
  <si>
    <t>ppd_chronic</t>
  </si>
  <si>
    <t>ppd_total</t>
  </si>
  <si>
    <t>ppd_wt_acute</t>
  </si>
  <si>
    <t>ppd_wt_chronic</t>
  </si>
  <si>
    <t>ppd_wt_total</t>
  </si>
  <si>
    <t>pucd_acute</t>
  </si>
  <si>
    <t>pucd_chronic</t>
  </si>
  <si>
    <t>pucd_total</t>
  </si>
  <si>
    <t>pucd_wt_acute</t>
  </si>
  <si>
    <t>pucd_wt_chronic</t>
  </si>
  <si>
    <t>pucd_wt_total</t>
  </si>
  <si>
    <t>supp_cnt</t>
  </si>
  <si>
    <t>total_agesex_ppd</t>
  </si>
  <si>
    <t>total_agesex_pucd</t>
  </si>
  <si>
    <t>total_hcc_ppd</t>
  </si>
  <si>
    <t>total_hcc_pucd</t>
  </si>
  <si>
    <t>admit</t>
  </si>
  <si>
    <t>engvst</t>
  </si>
  <si>
    <t>epdt1</t>
  </si>
  <si>
    <t>epdt2</t>
  </si>
  <si>
    <t>hx_date</t>
  </si>
  <si>
    <t>idxprv</t>
  </si>
  <si>
    <t>iedt</t>
  </si>
  <si>
    <t>iniprv</t>
  </si>
  <si>
    <t>inpat</t>
  </si>
  <si>
    <t>reldt</t>
  </si>
  <si>
    <t>base_medicine_ppd_wt</t>
  </si>
  <si>
    <t>base_medicine_pucd_wt</t>
  </si>
  <si>
    <t>base_surgery_ppd_wt</t>
  </si>
  <si>
    <t>base_surgery_pucd_wt</t>
  </si>
  <si>
    <t>com_agesex_sur_ppd</t>
  </si>
  <si>
    <t>com_agesex_sur_pucd</t>
  </si>
  <si>
    <t>com_hcc_sur_ppd</t>
  </si>
  <si>
    <t>com_hcc_sur_pucd</t>
  </si>
  <si>
    <t>exp_disch_cnt</t>
  </si>
  <si>
    <t>mcr_agesex_sur_ppd</t>
  </si>
  <si>
    <t>mcr_agesex_sur_pucd</t>
  </si>
  <si>
    <t>mcr_hcc_sur_ppd</t>
  </si>
  <si>
    <t>mcr_hcc_sur_pucd</t>
  </si>
  <si>
    <t>med_cnt</t>
  </si>
  <si>
    <t>medicine_agesex_ppd</t>
  </si>
  <si>
    <t>medicine_agesex_pucd</t>
  </si>
  <si>
    <t>medicine_hcc_ppd</t>
  </si>
  <si>
    <t>medicine_hcc_pucd</t>
  </si>
  <si>
    <t>medicine_ppd_wt</t>
  </si>
  <si>
    <t>medicine_pucd_wt</t>
  </si>
  <si>
    <t>obs_disch_cnt</t>
  </si>
  <si>
    <t>ppd</t>
  </si>
  <si>
    <t>pucd</t>
  </si>
  <si>
    <t>surgery_agesex_ppd</t>
  </si>
  <si>
    <t>surgery_agesex_pucd</t>
  </si>
  <si>
    <t>surgery_hcc_ppd</t>
  </si>
  <si>
    <t>surgery_hcc_pucd</t>
  </si>
  <si>
    <t>surgery_ppd_wt</t>
  </si>
  <si>
    <t>surgery_pucd_wt</t>
  </si>
  <si>
    <t>total_agesex_com_ppd</t>
  </si>
  <si>
    <t>total_agesex_com_pucd</t>
  </si>
  <si>
    <t>total_agesex_mcr_ppd</t>
  </si>
  <si>
    <t>total_agesex_mcr_pucd</t>
  </si>
  <si>
    <t>total_cnt</t>
  </si>
  <si>
    <t>total_com_hcc_ppd</t>
  </si>
  <si>
    <t>total_com_hcc_pucd</t>
  </si>
  <si>
    <t>total_ma_hcc_ppd</t>
  </si>
  <si>
    <t>total_ma_hcc_pucd</t>
  </si>
  <si>
    <t>total_ppd_wt</t>
  </si>
  <si>
    <t>total_pucd_wt</t>
  </si>
  <si>
    <t>hpvct</t>
  </si>
  <si>
    <t>days_ct</t>
  </si>
  <si>
    <t>indxfg</t>
  </si>
  <si>
    <t>declined</t>
  </si>
  <si>
    <t>english</t>
  </si>
  <si>
    <t>memlan</t>
  </si>
  <si>
    <t>memlansrc</t>
  </si>
  <si>
    <t>mproduct</t>
  </si>
  <si>
    <t>nonenglish</t>
  </si>
  <si>
    <t>src_cms</t>
  </si>
  <si>
    <t>src_cms_state</t>
  </si>
  <si>
    <t>src_direct</t>
  </si>
  <si>
    <t>src_other</t>
  </si>
  <si>
    <t>src_state</t>
  </si>
  <si>
    <t>totmem</t>
  </si>
  <si>
    <t>unknown_</t>
  </si>
  <si>
    <t>com_years</t>
  </si>
  <si>
    <t>contrfg</t>
  </si>
  <si>
    <t>cov_days</t>
  </si>
  <si>
    <t>cov_days_needed</t>
  </si>
  <si>
    <t>denomfg</t>
  </si>
  <si>
    <t>enr_begin</t>
  </si>
  <si>
    <t>enr_days</t>
  </si>
  <si>
    <t>enr_days_proj</t>
  </si>
  <si>
    <t>enr_end</t>
  </si>
  <si>
    <t>first_rx</t>
  </si>
  <si>
    <t>mem_days</t>
  </si>
  <si>
    <t>mem_years</t>
  </si>
  <si>
    <t>numerfg</t>
  </si>
  <si>
    <t>pdc</t>
  </si>
  <si>
    <t>proj_compliance</t>
  </si>
  <si>
    <t>unq_mem</t>
  </si>
  <si>
    <t>cdays</t>
  </si>
  <si>
    <t>rx_id_supp</t>
  </si>
  <si>
    <t>rx_other_last_use</t>
  </si>
  <si>
    <t>rx1_id</t>
  </si>
  <si>
    <t>rx1_id_supp</t>
  </si>
  <si>
    <t>rx2_id</t>
  </si>
  <si>
    <t>rx2_id_supp</t>
  </si>
  <si>
    <t>rx3_id</t>
  </si>
  <si>
    <t>rx3_id_supp</t>
  </si>
  <si>
    <t>rx4_id</t>
  </si>
  <si>
    <t>rx4_id_supp</t>
  </si>
  <si>
    <t>tdays</t>
  </si>
  <si>
    <t>acvcat</t>
  </si>
  <si>
    <t>correction_admin</t>
  </si>
  <si>
    <t>correction_mr</t>
  </si>
  <si>
    <t>text2</t>
  </si>
  <si>
    <t>bmdt</t>
  </si>
  <si>
    <t>hospfg</t>
  </si>
  <si>
    <t>osteorx</t>
  </si>
  <si>
    <t>relevant_dt</t>
  </si>
  <si>
    <t>adjusted_prob</t>
  </si>
  <si>
    <t>discharge_cc_1</t>
  </si>
  <si>
    <t>discharge_cc_2</t>
  </si>
  <si>
    <t>discharge_cc_3</t>
  </si>
  <si>
    <t>discharge_cc_desc_1</t>
  </si>
  <si>
    <t>discharge_cc_desc_2</t>
  </si>
  <si>
    <t>discharge_cc_desc_3</t>
  </si>
  <si>
    <t>excl_cnt</t>
  </si>
  <si>
    <t>index_stay</t>
  </si>
  <si>
    <t>pridx</t>
  </si>
  <si>
    <t>readmission</t>
  </si>
  <si>
    <t>readmt_admit_dt</t>
  </si>
  <si>
    <t>readmt_discharge_dt</t>
  </si>
  <si>
    <t>supp_cnt_den</t>
  </si>
  <si>
    <t>supp_cnt_num</t>
  </si>
  <si>
    <t>surgery</t>
  </si>
  <si>
    <t>variance_</t>
  </si>
  <si>
    <t>weight_agesex</t>
  </si>
  <si>
    <t>weight_base</t>
  </si>
  <si>
    <t>weight_comorbid</t>
  </si>
  <si>
    <t>weight_pridx_1</t>
  </si>
  <si>
    <t>weight_pridx_2</t>
  </si>
  <si>
    <t>weight_pridx_3</t>
  </si>
  <si>
    <t>weight_surgery</t>
  </si>
  <si>
    <t>weight_total</t>
  </si>
  <si>
    <t>drug_id</t>
  </si>
  <si>
    <t>end_death</t>
  </si>
  <si>
    <t>end_enrl</t>
  </si>
  <si>
    <t>end_po</t>
  </si>
  <si>
    <t>end_rx</t>
  </si>
  <si>
    <t>end_ryend</t>
  </si>
  <si>
    <t>mmpend</t>
  </si>
  <si>
    <t>rx10_id</t>
  </si>
  <si>
    <t>rx5_id</t>
  </si>
  <si>
    <t>rx6_id</t>
  </si>
  <si>
    <t>rx7_id</t>
  </si>
  <si>
    <t>rx8_id</t>
  </si>
  <si>
    <t>rx9_id</t>
  </si>
  <si>
    <t>enfg1</t>
  </si>
  <si>
    <t>enfg2</t>
  </si>
  <si>
    <t>months</t>
  </si>
  <si>
    <t>p2yce0</t>
  </si>
  <si>
    <t>p2yce1</t>
  </si>
  <si>
    <t>pyce0</t>
  </si>
  <si>
    <t>pyce1</t>
  </si>
  <si>
    <t>ryce0</t>
  </si>
  <si>
    <t>ryce1</t>
  </si>
  <si>
    <t>date6</t>
  </si>
  <si>
    <t>date7</t>
  </si>
  <si>
    <t>supppsa</t>
  </si>
  <si>
    <t>dsrl1</t>
  </si>
  <si>
    <t>dsrl2</t>
  </si>
  <si>
    <t>enrl1</t>
  </si>
  <si>
    <t>enrl2</t>
  </si>
  <si>
    <t>admitdt</t>
  </si>
  <si>
    <t>disfnd</t>
  </si>
  <si>
    <t>sercnt</t>
  </si>
  <si>
    <t>svcdt_hba1c</t>
  </si>
  <si>
    <t>svcdt_ldlc</t>
  </si>
  <si>
    <t>covdays</t>
  </si>
  <si>
    <t>rxend</t>
  </si>
  <si>
    <t>rxstart</t>
  </si>
  <si>
    <t>suppn</t>
  </si>
  <si>
    <t>totdays</t>
  </si>
  <si>
    <t>dischdt</t>
  </si>
  <si>
    <t>endhx</t>
  </si>
  <si>
    <t>excl_</t>
  </si>
  <si>
    <t>comm</t>
  </si>
  <si>
    <t>market</t>
  </si>
  <si>
    <t>mdcaid</t>
  </si>
  <si>
    <t>mdcare</t>
  </si>
  <si>
    <t>other</t>
  </si>
  <si>
    <t>prdcd</t>
  </si>
  <si>
    <t>pyrcd</t>
  </si>
  <si>
    <t>totct</t>
  </si>
  <si>
    <t>admdt</t>
  </si>
  <si>
    <t>disdt</t>
  </si>
  <si>
    <t>numproc</t>
  </si>
  <si>
    <t>hispanic</t>
  </si>
  <si>
    <t>mcs</t>
  </si>
  <si>
    <t>memeth</t>
  </si>
  <si>
    <t>memethn_src</t>
  </si>
  <si>
    <t>memrac</t>
  </si>
  <si>
    <t>mems</t>
  </si>
  <si>
    <t>nothisp</t>
  </si>
  <si>
    <t>src_e_cms</t>
  </si>
  <si>
    <t>src_e_cms_state_total</t>
  </si>
  <si>
    <t>src_e_direct_total</t>
  </si>
  <si>
    <t>src_e_directother</t>
  </si>
  <si>
    <t>src_e_geocoding</t>
  </si>
  <si>
    <t>src_e_hpdirect</t>
  </si>
  <si>
    <t>src_e_indirect</t>
  </si>
  <si>
    <t>src_e_state</t>
  </si>
  <si>
    <t>src_e_surname</t>
  </si>
  <si>
    <t>src_e_total_members</t>
  </si>
  <si>
    <t>src_e_unknowndc</t>
  </si>
  <si>
    <t>src_r_cms</t>
  </si>
  <si>
    <t>src_r_cms_state_total</t>
  </si>
  <si>
    <t>src_r_direct_total</t>
  </si>
  <si>
    <t>src_r_directother</t>
  </si>
  <si>
    <t>src_r_geocoding</t>
  </si>
  <si>
    <t>src_r_hpdirect</t>
  </si>
  <si>
    <t>src_r_indirect</t>
  </si>
  <si>
    <t>src_r_state</t>
  </si>
  <si>
    <t>src_r_surname</t>
  </si>
  <si>
    <t>src_r_total_members</t>
  </si>
  <si>
    <t>src_r_unknowndc</t>
  </si>
  <si>
    <t>last_disch_dt</t>
  </si>
  <si>
    <t>PRIMARY</t>
  </si>
  <si>
    <t>KEY</t>
  </si>
  <si>
    <t>COLUMN NAME</t>
  </si>
  <si>
    <t>DATA TYPE ORIGINAL</t>
  </si>
  <si>
    <t>COMPRESSION</t>
  </si>
  <si>
    <t xml:space="preserve"> ('4','3','6','2','1','7','8','0','5')</t>
  </si>
  <si>
    <t xml:space="preserve"> </t>
  </si>
  <si>
    <t xml:space="preserve"> ('2017-12-31 00:00:00','9999-03-28 00:00:00','2016-12-31 00:00:00','2017-08-31 00:00:00','2017-05-31 00:00:00','2017-01-31 00:00:00','2017-06-30 00:00:00','2017-03-31 00:00:00','2017-02-28 00:00:00','2017-09-30 00:00:00','2017-07-31 00:00:00','2017-04-30 00:00:00','2017-10-31 00:00:00','2016-05-31 00:00:00','2017-11-30 00:00:00','2016-08-31 00:00:00','2016-06-30 00:00:00','2016-11-30 00:00:00','2016-09-30 00:00:00','2016-04-30 00:00:00','2016-02-29 00:00:00','2016-03-31 00:00:00','2016-07-31 00:00:00','2016-01-31 00:00:00','2016-10-31 00:00:00','2017-10-06 00:00:00','2017-09-29 00:00:00')</t>
  </si>
  <si>
    <t xml:space="preserve"> 't'</t>
  </si>
  <si>
    <t xml:space="preserve"> '1900-01-01 00:00:00'</t>
  </si>
  <si>
    <t xml:space="preserve"> ('f','t')</t>
  </si>
  <si>
    <t xml:space="preserve"> 'f'</t>
  </si>
  <si>
    <t xml:space="preserve"> '0'</t>
  </si>
  <si>
    <t xml:space="preserve"> '1'</t>
  </si>
  <si>
    <t xml:space="preserve"> ('0','1')</t>
  </si>
  <si>
    <t xml:space="preserve"> ('2017-01-01','2016-01-01','2015-01-01','2014-01-01','2017-09-01','2013-01-01','2014-06-01','2017-06-01','2017-07-01','2011-01-01','2017-02-01','2016-07-01','2012-01-01','2017-10-01','2017-03-01','2016-12-01','2015-12-01','2014-07-01','2017-04-01','2016-10-01','2016-09-01','2017-05-01','2017-08-01','2016-04-01','2017-11-01','2015-07-01','2014-09-01','2016-06-01','2016-08-01','2016-11-01','2016-02-01','2015-09-01','2016-03-01','2016-05-01','2010-01-01','2017-12-01','2015-10-01','2015-02-01','2014-03-01','2015-04-01','2015-06-01','2014-05-01','2015-11-01','2011-09-01','2014-12-01','2014-04-01','2015-05-01','2015-08-01','2015-03-01','2014-10-01','2013-04-01','2014-11-01','2013-09-01','2013-12-01','2014-08-01','2012-07-01','2012-08-01','2013-07-01','2008-01-01','2013-05-01','2014-02-01','2013-10-01','2009-01-01','2004-08-01','2012-01-08','2012-09-01','2013-11-01','2011-04-01','2013-08-01','2011-07-01','2010-07-01','2013-06-01','2016-04-03','2006-01-01','2011-05-01','1996-01-01','2012-10-01','2011-06-01','2011-10-01','2012-05-01','2013-02-01','2013-03-01','2007-01-01','2012-11-01','2012-06-01','2012-12-01','2012-03-01','2011-08-01','2012-04-01','2011-11-01','2008-10-01','2011-12-01')</t>
  </si>
  <si>
    <t xml:space="preserve"> ('9999-12-31','2017-12-31','2016-12-31','2017-08-31','2017-05-31','2017-06-30','2017-09-30','2017-03-31','2017-01-31','2017-07-31','2017-04-30','2017-10-31','2017-02-28','2017-11-30','2016-05-31','2016-08-31','2016-06-30','2016-11-30','2016-09-30','2016-04-30','2016-02-29','2016-03-31','2016-07-31','2016-01-31','2016-10-31','2017-10-06')</t>
  </si>
  <si>
    <t xml:space="preserve"> ('600','082','H00000NONE','447','124','302','099','243','221','312','266','284','141')</t>
  </si>
  <si>
    <t xml:space="preserve"> ('UNKNOWN PROVIDER','ADVOCATE HEALTH CARE','NORTHSHORE PHYSICIAN ASSOCIATES','ADVENTIST HEALTH SYSTEM SUNBEL','ACCESS COMMUNITY HEALTH NETWORK','NMPP CENTRAL DUPAGE HOSPITAL','SILVER CROSS HLTH CONNECTIONS LLC')</t>
  </si>
  <si>
    <t xml:space="preserve"> ('Y','N')</t>
  </si>
  <si>
    <t xml:space="preserve"> ('N','Y')</t>
  </si>
  <si>
    <t xml:space="preserve"> 'N'</t>
  </si>
  <si>
    <t xml:space="preserve"> ('C','S','K','M','O','RR','D')</t>
  </si>
  <si>
    <t xml:space="preserve"> ('P','H')</t>
  </si>
  <si>
    <t xml:space="preserve"> ('H8634','H3822','H0107','H3251','H1666')</t>
  </si>
  <si>
    <t xml:space="preserve"> ('0000','0001','1000','0100','0102','0002','0111','0010','0006','0003','MM06','0005','1001','0004','0020','1100','0200','2000','0021','0101','0045','0300','0007','MM09','0040','0019','1140','0400','3000','0008','0011','0009','0500','7001','1025','0061','0024','0050','0012','A100','0022','013A','5100','4000','0047','1003','TXS1','0013','0030','0201','0060','0600','1002','0017','MM01','8888','0016','0110','1010','1500','5000','0014','0015','2001','MM05','4001','0042','0018','0103','3001','1021','0900','0704','0031','0702','1200','0070','0519','0056','1130')</t>
  </si>
  <si>
    <t xml:space="preserve"> ('NAT','MET','005','008','DWN','002','013','006','CTG','011','009','010','004','003','007','001','012','000')</t>
  </si>
  <si>
    <t xml:space="preserve"> ('IL','TX','OK','NM','MT')</t>
  </si>
  <si>
    <t xml:space="preserve"> ('CMM','IND','MCAID','MCARE')</t>
  </si>
  <si>
    <t xml:space="preserve"> ('NAC','LG','NAL','MGC','SG','LGL','FEP','MGL','NRSG','NRMM','MAC','ERS','AFG','HA','LGC','SGAR','HWB','STU','RA','TAC','LGN','SGTR')</t>
  </si>
  <si>
    <t xml:space="preserve"> ('01','00','06','05','04')</t>
  </si>
  <si>
    <t xml:space="preserve"> ('PPO+','PPO','HMO','BLUEH','BLUEOP','BLUEPF','EPOS','BLUECP','TRAD','BLUECH','BLUPRE','EPO','RPO','BLUEAP','BLUECD','BLUECS')</t>
  </si>
  <si>
    <t xml:space="preserve"> ('LG','SM','ID')</t>
  </si>
  <si>
    <t xml:space="preserve"> ('082','398','243','302','124','197','099','447','221','284')</t>
  </si>
  <si>
    <t xml:space="preserve"> ('U','P','O')</t>
  </si>
  <si>
    <t xml:space="preserve"> ('33602TX0460296','33602TX0460304','33602TX0460379','33602TX0460306','33602TX0460381','87571OK0350033','33602TX0460371','36096IL0990002')</t>
  </si>
  <si>
    <t xml:space="preserve"> ('F','M')</t>
  </si>
  <si>
    <t xml:space="preserve"> ('APT 1','APT 2','DRIVE')</t>
  </si>
  <si>
    <t xml:space="preserve"> ('CHICAGO','HOUSTON','SAN ANTONIO','AUSTIN','DALLAS','OKLAHOMA CITY','ALBUQUERQUE','FORT WORTH','El Paso','AURORA','SPRING','NAPERVILLE','ARLINGTON','PLANO','TULSA','MIDLAND','LUBBOCK','LAREDO','KATY','EDMOND','ELGIN','JOLIET','ODESSA','PLAINFIELD','CORPUS CHRISTI','LAS CRUCES','BILLINGS','CYPRESS','SPRINGFIELD','SANTA FE','ROCKFORD','COLLEGE STATION','BLOOMINGTON','ARLINGTON HEIGHTS','RICHMOND','AMARILLO','MCKINNEY','DES PLAINES','SUGAR LAND','FRISCO','NORMAN','SAINT CHARLES','EVANSTON','ORLAND PARK','BOLINGBROOK','SEATTLE','SCHAUMBURG','PALATINE','TINLEY PARK','PEARLAND','GARLAND','IRVING','LOUISVILLE','ROUND ROCK','BOZEMAN','BRYAN','DECATUR','HUMBLE','JACKSONVILLE','GRAND PRAIRIE','MONTGOMERY','WHEATON','DOWNERS GROVE','CONROE','OAK LAWN','BROWNSVILLE','MCALLEN','MISSOULA','BROKEN ARROW','PHOENIX','CARROLLTON','ALLEN','WAUKEGAN','OAK PARK','MISSION','CHARLOTTE','LOMBARD','SKOKIE','CRYSTAL LAKE','Mount Prospect','TYLER','DENTON','MESQUITE','YUKON','GLENVIEW','ELMHURST','CICERO','RICHARDSON','Missouri City','GREAT FALLS','KELLER','SAN ANGELO','LEAGUE CITY','BERWYN','INDIANAPOLIS','PEORIA','EDINBURG','NEW LENOX','MIAMI','SAINT LOUIS','RIO RANCHO','WACO','ABILENE','BEAUMONT','NEW BRAUNFELS','MCHENRY','LAS VEGAS','DENVER','WICHITA FALLS','OSWEGO','CAROL STREAM','ROSWELL','BARTLETT','LEWISVILLE','HOFFMAN ESTATES','LONGVIEW','BUFFALO GROVE','TOMBALL','FRANKFORT','PARK RIDGE','WEATHERFORD','ATLANTA','ROUND LAKE','LAKE ZURICH','GEORGETOWN','BARRINGTON','COLUMBUS','HELENA','LOCKPORT','EVERETT','PASADENA','HARLINGEN','ADDISON','MIDLOTHIAN','GLEN ELLYN','LA GRANGE','NORTHBROOK','ROMEOVILLE','LEXINGTON','PHILADELPHIA','PFLUGERVILLE','CLEVELAND','KANSAS CITY','MELROSE PARK','CEDAR PARK','WASHINGTON','STILLWATER','FLOWER MOUND','CARLSBAD','MILWAUKEE','HUNTSVILLE','STREAMWOOD','FARMINGTON','VICTORIA','ELMWOOD PARK','HOBBS','MANSFIELD','GURNEE','CANTON','MINNEAPOLIS','BAYTOWN','KINGWOOD','LEANDER','NORMAL','GREENVILLE','ELK GROVE VILLAGE','GRAYSLAKE')</t>
  </si>
  <si>
    <t xml:space="preserve"> ('TX','IL','OK','NM','CA','MT','WA','IN','FL','PA','GA','NC','OH','MI','MO','LA','WI','TN','NY','AZ','VA','CO','SC','KY','AL','NJ','MN','IA','KS','MD','AR','MS','MA','UT','OR','NE','CT','NV','WY','WV','ID','ND','SD','DE','NH')</t>
  </si>
  <si>
    <t xml:space="preserve"> ('SMITH','JOHNSON','WILLIAMS','GARCIA','MARTINEZ','JONES','BROWN','RODRIGUEZ','HERNANDEZ','DAVIS','MILLER','GONZALEZ','LOPEZ','ANDERSON','WILSON','MOORE','TAYLOR','SANCHEZ','PEREZ','THOMAS','MARTIN','JACKSON','THOMPSON','RAMIREZ','White','HARRIS','LEE','FLORES','NGUYEN','CLARK','WALKER','LEWIS','ALLEN','ROBINSON','TORRES','YOUNG','HALL','HILL','WRIGHT','KING','NELSON','PATEL','GARZA','SCOTT','BAKER','ADAMS','GREEN','GOMEZ','MITCHELL','ROBERTS','GUTIERREZ','RIVERA','GONZALES','CAMPBELL','PHILLIPS','EVANS','CHAVEZ','CARTER','REYES','TURNER','DIAZ','ORTIZ','MORRIS','EDWARDS','MURPHY','ROGERS','COLLINS','PARKER','STEWART')</t>
  </si>
  <si>
    <t xml:space="preserve"> ('MICHAEL','DAVID','JAMES','JOHN','ROBERT','WILLIAM','CHRISTOPHER','RICHARD','DANIEL','MARK','THOMAS','JOSEPH','BRIAN','MATTHEW','STEVEN','JOSE','JASON','KEVIN','JEFFREY','CHARLES','TIMOTHY','JENNIFER','PAUL','SCOTT','MARY','MARIA','ANTHONY','KENNETH','ERIC','ANDREW','STEPHEN','JOSHUA','DONALD','GARY','RONALD','JUAN','GREGORY','PATRICIA','LISA','RYAN','ELIZABETH','PATRICK','SUSAN','EDWARD','LINDA','JUSTIN','JONATHAN','KIMBERLY','KAREN','MICHELLE','GEORGE','LAURA','LARRY','JESSICA','MELISSA','DOUGLAS','CYNTHIA','SANDRA','AMY','BRANDON','NICHOLAS','ADAM','JEREMY','BARBARA','PETER','STEPHANIE','DENNIS','DEBORAH','AMANDA','ANGELA','SARAH','AARON','NANCY','KEITH','REBECCA','KELLY','TERRY','FRANK','JERRY','BENJAMIN','CARLOS','JULIE','DONNA','LUIS','TODD','PAMELA','DEBRA','BRYAN','JESUS','RAYMOND','ASHLEY','CRAIG','SHARON','KYLE','JACOB','SAMUEL','CHAD','KATHLEEN','BRADLEY','CHRISTINE','MARTIN','BRENDA','SEAN','RANDY','HEATHER','NATHAN','NICOLE','SHAWN','VICTOR','JOE','CAROL','ROGER','CHRIS','CHRISTINA','TERESA','MARGARET','STEVE','ALAN','BRUCE','JORGE','PHILLIP','TRAVIS','RUSSELL','JOEL','FRANCISCO','TRACY','CHERYL','KATHERINE','JESSE','ANDREA','MIGUEL','GERALD','MANUEL','LORI','CARL','DIANE','RACHEL','DIANA','JANET','JAMIE','CATHERINE','ANTONIO','LAWRENCE','SHANNON','PHILIP','DENISE','RANDALL','ANNA','JEFFERY','LESLIE','BILLY','RODNEY','MARIO','RICARDO','DUSTIN','EMILY','DANNY','MONICA','KATHRYN','TYLER','MARTHA','ZACHARY','ALEXANDER','TAMMY','JEFF','ROBIN','CAROLYN','WALTER','TROY','JACK','JIMMY','MEGAN','SARA','HENRY','LAUREN','JACQUELINE','DAWN','DEREK')</t>
  </si>
  <si>
    <t xml:space="preserve"> ('09','01','02','04')</t>
  </si>
  <si>
    <t xml:space="preserve"> ('O','S','C')</t>
  </si>
  <si>
    <t xml:space="preserve"> ('19','12','11')</t>
  </si>
  <si>
    <t xml:space="preserve"> ('U','E','M','S')</t>
  </si>
  <si>
    <t xml:space="preserve"> ('O','C','S')</t>
  </si>
  <si>
    <t xml:space="preserve"> 'U'</t>
  </si>
  <si>
    <t xml:space="preserve"> 'O'</t>
  </si>
  <si>
    <t xml:space="preserve"> ('600 W JACKSON BLVD','12800 INDIAN SCHOOL RD NE','5777 DEPARTMENT','1200 MAPLE RD')</t>
  </si>
  <si>
    <t xml:space="preserve"> 'SUITE 800'</t>
  </si>
  <si>
    <t xml:space="preserve"> ('CHICAGO','ALBUQUERQUE','AUSTIN','JOLIET','HOUSTON','CAROL STREAM','LAS CRUCES')</t>
  </si>
  <si>
    <t xml:space="preserve"> ('IL','TX','NM')</t>
  </si>
  <si>
    <t xml:space="preserve"> ('606615684','87112','601225777','604321439')</t>
  </si>
  <si>
    <t xml:space="preserve"> ('(866)233-7601','(505)291-3500','(630)933-3300','(815)740-7118')</t>
  </si>
  <si>
    <t xml:space="preserve"> ('(312)277-0330','(630)933-2740','(815)740-7901')</t>
  </si>
  <si>
    <t xml:space="preserve"> ('289380364','082','635658765','124','302','099','243','221','390876035','332970433','312','818274951','284','141')</t>
  </si>
  <si>
    <t xml:space="preserve"> ('363317058','362169147','999999999','376000511')</t>
  </si>
  <si>
    <t xml:space="preserve"> ('099','008','079','035','011','001')</t>
  </si>
  <si>
    <t xml:space="preserve"> ('207Q00000X','208000000X','207R00000X','302R00000X','261QF0400X','261QM1300X','2085R0204X','390200000X')</t>
  </si>
  <si>
    <t xml:space="preserve"> ('CMMPLG','CMMPSM','CMMHLG','0000ICAIDT','0000N72100','CMMHSM','0000TCAIDS','33602TX046037901','00000927ID','33602TX046029606','0000MCAID1','0000ICAIDD','H3822-001','H3251-002','33602TX046030406','H0107-001','33602TX046038101','H0107-003')</t>
  </si>
  <si>
    <t xml:space="preserve"> ('IL0','TX0','OK0','000','NM0','MT0','H86','H38','H01','H32','H16')</t>
  </si>
  <si>
    <t xml:space="preserve"> (DATE '2017-01-05')</t>
  </si>
  <si>
    <t xml:space="preserve"> 'Y'</t>
  </si>
  <si>
    <t xml:space="preserve"> ('C','S','K')</t>
  </si>
  <si>
    <t xml:space="preserve"> ('t','f')</t>
  </si>
  <si>
    <t xml:space="preserve"> ('57','56','55','25','54','58','53','24','59','60','23','26','47','52','46','48','61','22','27','51','50','35','37','49','36','62','21','34','45','33','38','32','20','40','63','31','39','30','44','29','19','43','42','41','28','18','64','17','16','15','14','13','12','11','10','9','8','65','1','7','2','5','3','6','4','0','66','67','68','69','70','71','72','73','74','75','76','77','78','79','80','81','82','83')</t>
  </si>
  <si>
    <t xml:space="preserve"> ('0','10','7','5')</t>
  </si>
  <si>
    <t xml:space="preserve"> '2016-05-01 00:00:00'</t>
  </si>
  <si>
    <t xml:space="preserve"> '2017-04-30 00:00:00'</t>
  </si>
  <si>
    <t xml:space="preserve"> ('2015-01-01 00:00:00','1900-01-01 00:00:00')</t>
  </si>
  <si>
    <t xml:space="preserve"> ('1900-01-01 00:00:00','2013-01-01 00:00:00')</t>
  </si>
  <si>
    <t xml:space="preserve"> '2017-01-01 00:00:00'</t>
  </si>
  <si>
    <t xml:space="preserve"> '2017-12-31 00:00:00'</t>
  </si>
  <si>
    <t xml:space="preserve"> ('4','3','1')</t>
  </si>
  <si>
    <t xml:space="preserve"> ('0','3','2','1')</t>
  </si>
  <si>
    <t xml:space="preserve"> ('1','2','0')</t>
  </si>
  <si>
    <t xml:space="preserve"> ('3','2','0','1','4')</t>
  </si>
  <si>
    <t xml:space="preserve"> ('3','4','0')</t>
  </si>
  <si>
    <t xml:space="preserve"> ('1','0')</t>
  </si>
  <si>
    <t xml:space="preserve"> ('0','2')</t>
  </si>
  <si>
    <t xml:space="preserve"> ('3','0')</t>
  </si>
  <si>
    <t xml:space="preserve"> ('1','2')</t>
  </si>
  <si>
    <t xml:space="preserve"> ('C','S')</t>
  </si>
  <si>
    <t xml:space="preserve"> '2'</t>
  </si>
  <si>
    <t xml:space="preserve"> ('TX','IL','OK')</t>
  </si>
  <si>
    <t xml:space="preserve"> ('0.1145','0.4407','0','-0.0473','0.0879','0.1921')</t>
  </si>
  <si>
    <t xml:space="preserve"> ('1.0418','1.1689','1','0.9732','0.995','1.0527')</t>
  </si>
  <si>
    <t xml:space="preserve"> ('COM','MCR')</t>
  </si>
  <si>
    <t xml:space="preserve"> ('-2.3107','-1.302')</t>
  </si>
  <si>
    <t xml:space="preserve"> ('1.2146','0','1.8709')</t>
  </si>
  <si>
    <t xml:space="preserve"> '0.001'</t>
  </si>
  <si>
    <t xml:space="preserve"> ('0.1267','0.1896','0.1096','0.1372','0.1181','0.1022')</t>
  </si>
  <si>
    <t xml:space="preserve"> ('C','S','K','M','O','RR')</t>
  </si>
  <si>
    <t xml:space="preserve"> ('0.100092','0.133542','0.090241','0.107302','0.097722','0.086432')</t>
  </si>
  <si>
    <t xml:space="preserve"> ('-2.1962','-1.87','-2.3107','-2.1186','-2.2228','-2.358')</t>
  </si>
  <si>
    <t xml:space="preserve"> ('1.26537','1.419746','1.2146','1.278609','1.208527','1.182049')</t>
  </si>
  <si>
    <t xml:space="preserve"> '2016-01-01 00:00:00'</t>
  </si>
  <si>
    <t xml:space="preserve"> '2016-12-31 00:00:00'</t>
  </si>
  <si>
    <t xml:space="preserve"> '14'</t>
  </si>
  <si>
    <t xml:space="preserve"> '-6.0494'</t>
  </si>
  <si>
    <t xml:space="preserve"> '1.0298'</t>
  </si>
  <si>
    <t xml:space="preserve"> '-6.3287'</t>
  </si>
  <si>
    <t xml:space="preserve"> '1.0038'</t>
  </si>
  <si>
    <t xml:space="preserve"> ('-3.584','-2.4501','-5.7107')</t>
  </si>
  <si>
    <t xml:space="preserve"> ('1.2243','1.4054','1.0007')</t>
  </si>
  <si>
    <t xml:space="preserve"> ('-0.6702','-0.2252','0','0.4159','0.5018','0.354','0.5798','0.6046')</t>
  </si>
  <si>
    <t xml:space="preserve"> ('0.9956','1.022','1','1.0242','1.0038','0.9822','0.9672','1.0042')</t>
  </si>
  <si>
    <t xml:space="preserve"> ('0','0.4941')</t>
  </si>
  <si>
    <t xml:space="preserve"> ('1','1.0283')</t>
  </si>
  <si>
    <t xml:space="preserve"> ('-4.0505','-2.9249')</t>
  </si>
  <si>
    <t xml:space="preserve"> ('1.1926','1.3109')</t>
  </si>
  <si>
    <t xml:space="preserve"> ('-4.3798','-3.1722')</t>
  </si>
  <si>
    <t xml:space="preserve"> ('1.0824','1.1937')</t>
  </si>
  <si>
    <t xml:space="preserve"> ('-0.8955','-0.4872','0.4582','0.5784','0.1934','0','0.7618','0.6965')</t>
  </si>
  <si>
    <t xml:space="preserve"> ('0.9875','0.9761','1.0032','1.0079','0.9876','1','0.9917','0.9741')</t>
  </si>
  <si>
    <t xml:space="preserve"> ('0','0.4279')</t>
  </si>
  <si>
    <t xml:space="preserve"> ('1','1.0085','1.0181','1.0172')</t>
  </si>
  <si>
    <t xml:space="preserve"> ('0.0054','0.0171','0.0119','0.0271','0.0081','0.0194','0.0134','0.0204','0.0331','0.0458','0.016','0.0304','0.0282','0.0539','0.0336','0.0211','0.0506','0.0238')</t>
  </si>
  <si>
    <t xml:space="preserve"> ('-0.4563','-0.1331','0.1819','0.1258','0.1366','0','0.0065','-0.0144')</t>
  </si>
  <si>
    <t xml:space="preserve"> ('1.027','1.006','0.9813','0.9966','0.9808','1','0.9494','0.938')</t>
  </si>
  <si>
    <t xml:space="preserve"> ('0','0.1979')</t>
  </si>
  <si>
    <t xml:space="preserve"> ('1','1.0135','0.9867')</t>
  </si>
  <si>
    <t xml:space="preserve"> ('-0.5547','-0.1054','0','0.2963','0.5005','0.4193','0.4103','0.482')</t>
  </si>
  <si>
    <t xml:space="preserve"> ('1.0061','1.0542','1','1.0344','1.0098','0.989','0.98','1.051')</t>
  </si>
  <si>
    <t xml:space="preserve"> ('0','0.531')</t>
  </si>
  <si>
    <t xml:space="preserve"> ('1','1.0234')</t>
  </si>
  <si>
    <t xml:space="preserve"> ('-4.6052','-4.1559','-4.0505','-3.6312','-3.55','-3.7542')</t>
  </si>
  <si>
    <t xml:space="preserve"> ('1.199875','1.257239','1.1926','1.179481','1.204287','1.233625')</t>
  </si>
  <si>
    <t xml:space="preserve"> ('0.00509','0.009901','0.014006','0.007638','0.01543','0.021685','0.012373','0.027014','0.017116','0.014973','0.038052','0.025801','0.019425','0.043847','0.027923','0.021851','0.040384','0.022883')</t>
  </si>
  <si>
    <t xml:space="preserve"> ('1.06887','1.199875','1.218913','1.257239','1.056531','1.251235','1.0824','1.1926','1.179481','1.068978','1.2243','1.202507','1.085864','1.204287','1.090951','1.233625','1.228952','1.253928')</t>
  </si>
  <si>
    <t xml:space="preserve"> ('-0.8955','-0.4872','0','0.5784','0.4582','0.1934','0.7618','0.6965')</t>
  </si>
  <si>
    <t xml:space="preserve"> ('0.9875','0.9761','1','1.0079','1.0032','0.9876','0.9917','0.9741')</t>
  </si>
  <si>
    <t xml:space="preserve"> ('1','1.0085','1.0181')</t>
  </si>
  <si>
    <t xml:space="preserve"> ('0','-5.2753','-4.867','-4.3798','-4.1864','-3.9216','-3.8014')</t>
  </si>
  <si>
    <t xml:space="preserve"> ('0','1.06887','1.056531','1.0824','1.068978','1.085864','1.090951')</t>
  </si>
  <si>
    <t xml:space="preserve"> ('-0.6702','-0.2252','0.5018','0.4159','0.354','0','0.5798','0.6046')</t>
  </si>
  <si>
    <t xml:space="preserve"> ('0.9956','1.022','1.0038','1.0242','0.9822','1','0.9672','1.0042')</t>
  </si>
  <si>
    <t xml:space="preserve"> ('-0.3155','-0.1406','0.1218','0.0814','0.0694','0','-0.1256','-0.1469')</t>
  </si>
  <si>
    <t xml:space="preserve"> ('1.0727','1.0899','0.9576','0.9878','0.9898','1','0.9191','0.9203')</t>
  </si>
  <si>
    <t xml:space="preserve"> ('0','0.3153')</t>
  </si>
  <si>
    <t xml:space="preserve"> ('1','1.0421')</t>
  </si>
  <si>
    <t xml:space="preserve"> ('0','-4.2542','-3.8092','-3.584','-3.23','-3.0822','-3.1681')</t>
  </si>
  <si>
    <t xml:space="preserve"> ('0','1.218913','1.251235','1.2243','1.202507','1.228952','1.253928')</t>
  </si>
  <si>
    <t xml:space="preserve"> ('U','E','M')</t>
  </si>
  <si>
    <t xml:space="preserve"> ('365','122')</t>
  </si>
  <si>
    <t xml:space="preserve"> '365'</t>
  </si>
  <si>
    <t xml:space="preserve"> ('CONFIRMED','NOT POSSIBLE')</t>
  </si>
  <si>
    <t xml:space="preserve"> 'NONE'</t>
  </si>
  <si>
    <t xml:space="preserve"> ('12','4')</t>
  </si>
  <si>
    <t xml:space="preserve"> ('19','12')</t>
  </si>
  <si>
    <t xml:space="preserve"> ('O','S')</t>
  </si>
  <si>
    <t xml:space="preserve"> ('09','01')</t>
  </si>
  <si>
    <t>COMPRESSED VALUES</t>
  </si>
  <si>
    <t>DATA TYPE MODIFIED</t>
  </si>
  <si>
    <t>SMALLINT</t>
  </si>
  <si>
    <t>INTEGER</t>
  </si>
  <si>
    <t>BIGINT</t>
  </si>
  <si>
    <t>TIMESTAMP</t>
  </si>
  <si>
    <t>CHAR(1)</t>
  </si>
  <si>
    <t>CHAR(2)</t>
  </si>
  <si>
    <t>CHAR(5)</t>
  </si>
  <si>
    <t>CHAR(4)</t>
  </si>
  <si>
    <t>CHAR(3)</t>
  </si>
  <si>
    <t>BYTEINT</t>
  </si>
  <si>
    <t>FLOAT</t>
  </si>
  <si>
    <t>MAX_LENGTH</t>
  </si>
  <si>
    <t>VARCHAR(35)</t>
  </si>
  <si>
    <t>VARCHAR(27)</t>
  </si>
  <si>
    <t>VARCHAR(20)</t>
  </si>
  <si>
    <t>SQL</t>
  </si>
  <si>
    <t>NUMBER(5,2)</t>
  </si>
  <si>
    <t>NUMBER(8,6)</t>
  </si>
  <si>
    <t>DATE  FORMAT 'YYYY-MM-DD'</t>
  </si>
  <si>
    <t>category</t>
  </si>
  <si>
    <t>tagtext</t>
  </si>
  <si>
    <t>eventdefid</t>
  </si>
  <si>
    <t>uniqueid</t>
  </si>
  <si>
    <t>unique_key</t>
  </si>
  <si>
    <t>eventcode</t>
  </si>
  <si>
    <t>eventbuildid</t>
  </si>
  <si>
    <t>providerid</t>
  </si>
  <si>
    <t>dischargestatus</t>
  </si>
  <si>
    <t>precedence</t>
  </si>
  <si>
    <t>deduplicatefield</t>
  </si>
  <si>
    <t>posnegresult</t>
  </si>
  <si>
    <t>cost</t>
  </si>
  <si>
    <t>quantitydispensed</t>
  </si>
  <si>
    <t>servicedate</t>
  </si>
  <si>
    <t>throughdate</t>
  </si>
  <si>
    <t>ndc</t>
  </si>
  <si>
    <t>datasource</t>
  </si>
  <si>
    <t>suppsource</t>
  </si>
  <si>
    <t>feed_instance_id</t>
  </si>
  <si>
    <t>filename</t>
  </si>
  <si>
    <t>result_</t>
  </si>
  <si>
    <t>Column name</t>
  </si>
  <si>
    <t>sample 10K size</t>
  </si>
  <si>
    <t>datatype</t>
  </si>
  <si>
    <t>VARCHAR</t>
  </si>
  <si>
    <t>Ordinal</t>
  </si>
  <si>
    <t>Covered Days</t>
  </si>
  <si>
    <t>Drug ID</t>
  </si>
  <si>
    <t>MMPEND = Treatment Period End</t>
  </si>
  <si>
    <t>Link Date</t>
  </si>
  <si>
    <t>Left Mastectomy</t>
  </si>
  <si>
    <t>Left Mastectomy Date</t>
  </si>
  <si>
    <t>Unilateral Mastectomy Date</t>
  </si>
  <si>
    <t>Treatment Period End</t>
  </si>
  <si>
    <t>Right Mastectomy</t>
  </si>
  <si>
    <t>Right Mastectomy Date</t>
  </si>
  <si>
    <t>Coverage Begin Date</t>
  </si>
  <si>
    <t>Coverage End Date</t>
  </si>
  <si>
    <t>MemberEnrollmentCustomCode1</t>
  </si>
  <si>
    <t>MemberEnrollmentCustomCode2</t>
  </si>
  <si>
    <t>MemberEnrollmentCustomCode3</t>
  </si>
  <si>
    <t>MemberEnrollmentCustomCode4</t>
  </si>
  <si>
    <t>MemberEnrollmentCustomCode5</t>
  </si>
  <si>
    <t>MemberEnrollmentCustomCode6</t>
  </si>
  <si>
    <t>MemberEnrollmentAltID1</t>
  </si>
  <si>
    <t>MemberEnrollmentAltID2</t>
  </si>
  <si>
    <t>MemberEnrollmentAltID3</t>
  </si>
  <si>
    <t>MemberEnrollmentAltID4</t>
  </si>
  <si>
    <t>MemberEnrollmentAltID5</t>
  </si>
  <si>
    <t>MemberEnrollmentAltID6</t>
  </si>
  <si>
    <t>MemberEnrollmentAltID7</t>
  </si>
  <si>
    <t>MemberEnrollmentAltID8</t>
  </si>
  <si>
    <t>MemberEnrollmentAltID9</t>
  </si>
  <si>
    <t>MemberEnrollmentAltID10</t>
  </si>
  <si>
    <t>MemberEnrollmentAltID11</t>
  </si>
  <si>
    <t>MemberEnrollmentAltID12</t>
  </si>
  <si>
    <t>MemberEnrollmentAltID13</t>
  </si>
  <si>
    <t>MemberEnrollmentAltID14</t>
  </si>
  <si>
    <t>Not supported</t>
  </si>
  <si>
    <t>MemberAltID1</t>
  </si>
  <si>
    <t>MemberAltID2</t>
  </si>
  <si>
    <t>MemberAltID3</t>
  </si>
  <si>
    <t>MemberAltID4</t>
  </si>
  <si>
    <t>MemberAltID5</t>
  </si>
  <si>
    <t>MemberAltID6</t>
  </si>
  <si>
    <t>ProviderAltID1</t>
  </si>
  <si>
    <t>ProviderAltID2</t>
  </si>
  <si>
    <t>ProviderAltID3</t>
  </si>
  <si>
    <t>ProviderAltID4</t>
  </si>
  <si>
    <t>ProviderAltID5</t>
  </si>
  <si>
    <t>ProviderAltID6</t>
  </si>
  <si>
    <t>ProviderAltID7</t>
  </si>
  <si>
    <t>ProviderAltID8</t>
  </si>
  <si>
    <t>Measure key</t>
  </si>
  <si>
    <t>Anticonvulsant Category</t>
  </si>
  <si>
    <t>Contra Admin Data Utilized Flag</t>
  </si>
  <si>
    <t>Contra Admin Data Utilized Count</t>
  </si>
  <si>
    <t>Adjusted probability</t>
  </si>
  <si>
    <t>Admission Date</t>
  </si>
  <si>
    <t>Admission Date for Index Episode</t>
  </si>
  <si>
    <t>Numerator Admin Data Utilized Count</t>
  </si>
  <si>
    <t>Numerator Admin Data Utilized Flag</t>
  </si>
  <si>
    <t>Age at Period End</t>
  </si>
  <si>
    <t>Age at RYEND</t>
  </si>
  <si>
    <t>Aminoglycosides</t>
  </si>
  <si>
    <t>Amoxicillian Clavulanate</t>
  </si>
  <si>
    <t>Aspirin Age</t>
  </si>
  <si>
    <t>Assigned payer for discharge</t>
  </si>
  <si>
    <t>Last Day of Acute Treatment Phase</t>
  </si>
  <si>
    <t>Azithromycin</t>
  </si>
  <si>
    <t>Bone Mineral Density Test Performed</t>
  </si>
  <si>
    <t>covered days</t>
  </si>
  <si>
    <t>Diabetes identified by claims data</t>
  </si>
  <si>
    <t>1st Generation Cephalosporins</t>
  </si>
  <si>
    <t>2nd Generation Cephalosporins</t>
  </si>
  <si>
    <t>Clindamycin</t>
  </si>
  <si>
    <t>Classification Date</t>
  </si>
  <si>
    <t>Commercial</t>
  </si>
  <si>
    <t>Total Scrips for Concern</t>
  </si>
  <si>
    <t>Continuation Visits</t>
  </si>
  <si>
    <t>Contraindication Count</t>
  </si>
  <si>
    <t>Contraindication Flag</t>
  </si>
  <si>
    <t>Admin discharge correction</t>
  </si>
  <si>
    <t>MR discharge correction</t>
  </si>
  <si>
    <t>Last day of continuation phase</t>
  </si>
  <si>
    <t>Ambiguous HbA1c value</t>
  </si>
  <si>
    <t>Current Payer</t>
  </si>
  <si>
    <t>Current Product</t>
  </si>
  <si>
    <t>16th birthday</t>
  </si>
  <si>
    <t>5 Year Search Begin Date</t>
  </si>
  <si>
    <t>30 Days After Corrected Discharge</t>
  </si>
  <si>
    <t>Begin date of prenatal care search</t>
  </si>
  <si>
    <t>Corrected Admission Date</t>
  </si>
  <si>
    <t>Begin Date of Postpartum Care Search</t>
  </si>
  <si>
    <t>End Date of Postpartum Care Search</t>
  </si>
  <si>
    <t>Days count</t>
  </si>
  <si>
    <t>Total DTaP count</t>
  </si>
  <si>
    <t>Declined Ethnicity Members</t>
  </si>
  <si>
    <t>Denominator Count</t>
  </si>
  <si>
    <t>Denominator Flag</t>
  </si>
  <si>
    <t>Member is diabetic</t>
  </si>
  <si>
    <t>Discharge date</t>
  </si>
  <si>
    <t>Discharge Date</t>
  </si>
  <si>
    <t>Discharge Found</t>
  </si>
  <si>
    <t>Episode end date due to death</t>
  </si>
  <si>
    <t>End of Negative History Check</t>
  </si>
  <si>
    <t>Enrolled at Period Beginning</t>
  </si>
  <si>
    <t>Enrolled at Period End</t>
  </si>
  <si>
    <t>English speaking members</t>
  </si>
  <si>
    <t>Engagement Visits</t>
  </si>
  <si>
    <t>Enrolled Days during Period</t>
  </si>
  <si>
    <t>Enrollment Count</t>
  </si>
  <si>
    <t>Count of Expected Prenatal Care Visits</t>
  </si>
  <si>
    <t>Engagement Period Begin Date</t>
  </si>
  <si>
    <t>Engagement Period End Date</t>
  </si>
  <si>
    <t>FE Flag</t>
  </si>
  <si>
    <t>First trimester enrollment flag</t>
  </si>
  <si>
    <t>System assigned flowchart run identifier</t>
  </si>
  <si>
    <t>Total  Influenza Count</t>
  </si>
  <si>
    <t>Flu Shot Indicator</t>
  </si>
  <si>
    <t>Admin event within 14 days found</t>
  </si>
  <si>
    <t>HbA1c Result Existed</t>
  </si>
  <si>
    <t>HbA1c Test Existed</t>
  </si>
  <si>
    <t>Total Hep A counts</t>
  </si>
  <si>
    <t>Total Hepatitis B count</t>
  </si>
  <si>
    <t>Total HiB count</t>
  </si>
  <si>
    <t>Hispanic Latino Members</t>
  </si>
  <si>
    <t>Hospitalization Flag</t>
  </si>
  <si>
    <t>Total Count of HPV Vaccinations</t>
  </si>
  <si>
    <t>Index Episode Provider</t>
  </si>
  <si>
    <t>Index Episode Date</t>
  </si>
  <si>
    <t>Date of Index Fracture</t>
  </si>
  <si>
    <t>Index admission date</t>
  </si>
  <si>
    <t>Index discharge date</t>
  </si>
  <si>
    <t>Count episode as an index stay</t>
  </si>
  <si>
    <t>Index Episode Found</t>
  </si>
  <si>
    <t>Initiation Visit Provider</t>
  </si>
  <si>
    <t>Initiation Visit Date</t>
  </si>
  <si>
    <t>Inpatient Index Episode</t>
  </si>
  <si>
    <t>Intake Period Begin Date</t>
  </si>
  <si>
    <t>Index Prescription Date</t>
  </si>
  <si>
    <t>Intake Period End Date</t>
  </si>
  <si>
    <t>Index Prescription Start Date</t>
  </si>
  <si>
    <t>Total Polio count</t>
  </si>
  <si>
    <t>Ketolides</t>
  </si>
  <si>
    <t>Latest BP Reading</t>
  </si>
  <si>
    <t>Lowest diastolic BP from last BP date</t>
  </si>
  <si>
    <t>BP Reading was Found</t>
  </si>
  <si>
    <t>Lowest systolic BP from last BP date</t>
  </si>
  <si>
    <t>Date of Last IP Discharge for this Px</t>
  </si>
  <si>
    <t>Lowest HbA1c result on most recent date</t>
  </si>
  <si>
    <t>Lincosamides</t>
  </si>
  <si>
    <t>Medicaid</t>
  </si>
  <si>
    <t>Medicare</t>
  </si>
  <si>
    <t>The member enrollment identifier for the enrollment segment</t>
  </si>
  <si>
    <t>A unique system-generated identifier for the member</t>
  </si>
  <si>
    <t>Organization member identifier</t>
  </si>
  <si>
    <t>Member name</t>
  </si>
  <si>
    <t>Member Ethnicity</t>
  </si>
  <si>
    <t>Member Ethnicity Source</t>
  </si>
  <si>
    <t>Member Language</t>
  </si>
  <si>
    <t>Member language source</t>
  </si>
  <si>
    <t>Member Race</t>
  </si>
  <si>
    <t>Total Members</t>
  </si>
  <si>
    <t>Count of MMR Immunizations</t>
  </si>
  <si>
    <t>Enrolled Months During Period</t>
  </si>
  <si>
    <t>Assigned payer at discharge</t>
  </si>
  <si>
    <t>Member Product</t>
  </si>
  <si>
    <t>Contra MR Data Utilized Flag</t>
  </si>
  <si>
    <t>Contra MR Data Utilized Count</t>
  </si>
  <si>
    <t>MR indicates member not diabetic</t>
  </si>
  <si>
    <t>Numerator MR Data Utilized Count</t>
  </si>
  <si>
    <t>Numerator MR Data Utilized Flag</t>
  </si>
  <si>
    <t>Non-acute diabetic visit count</t>
  </si>
  <si>
    <t>Non-English speaking members</t>
  </si>
  <si>
    <t>Not Hispanic Latino</t>
  </si>
  <si>
    <t>Gestational age at birth (in weeks)</t>
  </si>
  <si>
    <t>Numerator Count</t>
  </si>
  <si>
    <t>Numerator Flag</t>
  </si>
  <si>
    <t>Number of Procedures</t>
  </si>
  <si>
    <t>Osteoporosis Rx</t>
  </si>
  <si>
    <t>Other</t>
  </si>
  <si>
    <t>Two Yr Prior CE No Breaks</t>
  </si>
  <si>
    <t>Two Yr Prior CE 1 Break</t>
  </si>
  <si>
    <t>coverage rate</t>
  </si>
  <si>
    <t>Penicillins</t>
  </si>
  <si>
    <t>Phone visit used</t>
  </si>
  <si>
    <t>PNC visit count</t>
  </si>
  <si>
    <t>Total Pneumococcal count</t>
  </si>
  <si>
    <t>Population</t>
  </si>
  <si>
    <t>Product Code</t>
  </si>
  <si>
    <t>Discharge primary ICD Dx code</t>
  </si>
  <si>
    <t>Prior Year Cont Enrl No Breaks</t>
  </si>
  <si>
    <t>Prior Year Cont Enrl 1 Break</t>
  </si>
  <si>
    <t>Prior Year Outpatient Visit Count</t>
  </si>
  <si>
    <t>Payer Code</t>
  </si>
  <si>
    <t>Prior Year Prescription Count</t>
  </si>
  <si>
    <t>Quinolones</t>
  </si>
  <si>
    <t>Controller to Total Ratio</t>
  </si>
  <si>
    <t>Count 30-day readmission found</t>
  </si>
  <si>
    <t>Readmission date</t>
  </si>
  <si>
    <t>Readmission discharge date</t>
  </si>
  <si>
    <t>Relevant date for active Rx calculation</t>
  </si>
  <si>
    <t>Total 2 Dose Rotavirus Count</t>
  </si>
  <si>
    <t>Total 3 Dose Rotavirus Count</t>
  </si>
  <si>
    <t>Drug 10 ID</t>
  </si>
  <si>
    <t>Drug 1 ID</t>
  </si>
  <si>
    <t>Supplemental Drug ID 1</t>
  </si>
  <si>
    <t>Drug 2 ID</t>
  </si>
  <si>
    <t>Supplemental drug ID 2</t>
  </si>
  <si>
    <t>Drug 3 ID</t>
  </si>
  <si>
    <t>Supplemental drug ID 3</t>
  </si>
  <si>
    <t>Drug 4 ID</t>
  </si>
  <si>
    <t>Supplemental drug ID 4</t>
  </si>
  <si>
    <t>Drug 5 ID</t>
  </si>
  <si>
    <t>Drug 6 ID</t>
  </si>
  <si>
    <t>Drug 7 ID</t>
  </si>
  <si>
    <t>Drug 8 ID</t>
  </si>
  <si>
    <t>Drug 9 ID</t>
  </si>
  <si>
    <t>Treatment Days</t>
  </si>
  <si>
    <t>Antibiotic Rx found</t>
  </si>
  <si>
    <t>Supplemental RX ID</t>
  </si>
  <si>
    <t>Days Supply of Medication</t>
  </si>
  <si>
    <t>Report Year Cont Enrl No Breaks</t>
  </si>
  <si>
    <t>Report Year Cont Enrl 1 Break</t>
  </si>
  <si>
    <t>Payer Group at Year End</t>
  </si>
  <si>
    <t>Member Product at Year End</t>
  </si>
  <si>
    <t>Member Payer Group at Year End</t>
  </si>
  <si>
    <t>Report Year Outpatient Visit Count</t>
  </si>
  <si>
    <t>Report Year Prescription Count</t>
  </si>
  <si>
    <t>service count</t>
  </si>
  <si>
    <t>Special Needs Indicator</t>
  </si>
  <si>
    <t>Source CMS</t>
  </si>
  <si>
    <t>Source CMS or State DB</t>
  </si>
  <si>
    <t>Source Direct</t>
  </si>
  <si>
    <t>Ethnicity Source CMS</t>
  </si>
  <si>
    <t>Ethnicity Source CMS and State</t>
  </si>
  <si>
    <t>Ethnicity Source Direct Other</t>
  </si>
  <si>
    <t>Ethnicity Source Direct Total</t>
  </si>
  <si>
    <t>Ethnicity Source Geocoding</t>
  </si>
  <si>
    <t>Ethnicity Source Health Plan Direct</t>
  </si>
  <si>
    <t>Ethnicity Source Indirect Total</t>
  </si>
  <si>
    <t>Ethnicity Source State</t>
  </si>
  <si>
    <t>Ethnicity Source Surname</t>
  </si>
  <si>
    <t>Total Member by Ethnicity Source</t>
  </si>
  <si>
    <t>Ethnicity Source Unknown Data Collection</t>
  </si>
  <si>
    <t>Source Other</t>
  </si>
  <si>
    <t>Race Source CMS</t>
  </si>
  <si>
    <t>Race Source CMS and State</t>
  </si>
  <si>
    <t>Race Source Direct Other</t>
  </si>
  <si>
    <t>Race Source Direct Total</t>
  </si>
  <si>
    <t>Race Source Geocoding</t>
  </si>
  <si>
    <t>Race Source Health Plan Direct</t>
  </si>
  <si>
    <t>Race Source Indirect Total</t>
  </si>
  <si>
    <t>Race Source State</t>
  </si>
  <si>
    <t>Race Source Surname</t>
  </si>
  <si>
    <t>Total Members by Race Source</t>
  </si>
  <si>
    <t>Race Source Unknown Data Collection</t>
  </si>
  <si>
    <t>Source State</t>
  </si>
  <si>
    <t>Medication count</t>
  </si>
  <si>
    <t>Services count</t>
  </si>
  <si>
    <t>State of residence on RYEND</t>
  </si>
  <si>
    <t>Submeasure key</t>
  </si>
  <si>
    <t>Absorbable Sulfonamides</t>
  </si>
  <si>
    <t>Supplemental cholesterol test</t>
  </si>
  <si>
    <t>Supplemental Contraindication Flag</t>
  </si>
  <si>
    <t>Supplemental Denom Exclusion</t>
  </si>
  <si>
    <t>Supplementle glucose test</t>
  </si>
  <si>
    <t>Days Supply of Scrip</t>
  </si>
  <si>
    <t>Supplemental numerator flag</t>
  </si>
  <si>
    <t>Surgery flag</t>
  </si>
  <si>
    <t>total treatment days</t>
  </si>
  <si>
    <t>Tetracyclines</t>
  </si>
  <si>
    <t>Facility of Initial Admission</t>
  </si>
  <si>
    <t>Facility of Initial Discharge</t>
  </si>
  <si>
    <t>Total</t>
  </si>
  <si>
    <t>Units of Controller Medications</t>
  </si>
  <si>
    <t>Total count of visits</t>
  </si>
  <si>
    <t>Units of Reliever Medications</t>
  </si>
  <si>
    <t>Treatment period begin</t>
  </si>
  <si>
    <t>Treatment period end</t>
  </si>
  <si>
    <t>Visits for Rheumatoid Arthritis</t>
  </si>
  <si>
    <t>Ratio of observed to expected visits</t>
  </si>
  <si>
    <t>Total VZV counts</t>
  </si>
  <si>
    <t>Age/sex weight</t>
  </si>
  <si>
    <t>Comorbidity weight</t>
  </si>
  <si>
    <t>Surgery weight</t>
  </si>
  <si>
    <t>Final weight for discharge</t>
  </si>
  <si>
    <t>The member key of the primary health plan member</t>
  </si>
  <si>
    <t>The provider’s key for the claim</t>
  </si>
  <si>
    <t>Provider name</t>
  </si>
  <si>
    <t>Is the member covered for mental health inpatient services?</t>
  </si>
  <si>
    <t>Is the member covered for mental health ambulatory services?</t>
  </si>
  <si>
    <t>Is the member covered for mental health day/night services?</t>
  </si>
  <si>
    <t>Is the member covered for chemical dependency inpatient services?</t>
  </si>
  <si>
    <t>Is the member covered for chemical dependency ambulatory services?</t>
  </si>
  <si>
    <t>Is the member covered for chemical dependency day/night services?</t>
  </si>
  <si>
    <t>Is the member covered for dental during this enrollment segment?</t>
  </si>
  <si>
    <t>Is the member covered for disease management during this enrollment segment?</t>
  </si>
  <si>
    <t>This flag is set to "True" if a member received Hospice Services during the enrollment segment.</t>
  </si>
  <si>
    <t>Is the member covered for Rx during this enrollment segment?</t>
  </si>
  <si>
    <t>Determines if the member is a plan employee during the member enrollment segment</t>
  </si>
  <si>
    <t>Is the member covered for vision during this enrollment segment?</t>
  </si>
  <si>
    <t>Optional field used to represent a member’s risk factor</t>
  </si>
  <si>
    <t>The payer code for the enrollment segment</t>
  </si>
  <si>
    <t>The product code for the enrollment segment</t>
  </si>
  <si>
    <t>The Medicare contract code for the member’s enrollment segment</t>
  </si>
  <si>
    <t>Member date of birth</t>
  </si>
  <si>
    <t>Member gender</t>
  </si>
  <si>
    <t>Member phone number</t>
  </si>
  <si>
    <t>Member address line 1</t>
  </si>
  <si>
    <t>Member address line 2</t>
  </si>
  <si>
    <t>Member city</t>
  </si>
  <si>
    <t>Member county</t>
  </si>
  <si>
    <t>Member state</t>
  </si>
  <si>
    <t>Member zip code</t>
  </si>
  <si>
    <t>Medicare ID</t>
  </si>
  <si>
    <t>Medicaid ID</t>
  </si>
  <si>
    <t>Member race</t>
  </si>
  <si>
    <t>The source in which the member’s race was attained</t>
  </si>
  <si>
    <t>Member ethnicity</t>
  </si>
  <si>
    <t>The source in which the member’s ethnicity was attained</t>
  </si>
  <si>
    <t>Member language spoken</t>
  </si>
  <si>
    <t>The source in which the member’s spoken language was attained</t>
  </si>
  <si>
    <t>Member language written</t>
  </si>
  <si>
    <t>The source in which the member’s written language was attained</t>
  </si>
  <si>
    <t>The language for other uses used by the member</t>
  </si>
  <si>
    <t>The source in which the member’s LanguageOther was determined</t>
  </si>
  <si>
    <t>Provider address line 1</t>
  </si>
  <si>
    <t>Provider address line 2</t>
  </si>
  <si>
    <t>Provider city</t>
  </si>
  <si>
    <t>Provider state</t>
  </si>
  <si>
    <t>Provider zip</t>
  </si>
  <si>
    <t>Provider phone number 1</t>
  </si>
  <si>
    <t>Provider phone number 2</t>
  </si>
  <si>
    <t>Provider fax number 1</t>
  </si>
  <si>
    <t>The facility code of the facility that the provider belongs</t>
  </si>
  <si>
    <t>DESC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</si>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</sst>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0"/>
  <sheetViews>
    <sheetView tabSelected="1" workbookViewId="0">
      <selection activeCell="C49" sqref="C49"/>
    </sheetView>
  </sheetViews>
  <sheetFormatPr defaultRowHeight="15" x14ac:dyDescent="0.25"/>
  <cols>
    <col min="2" max="2" width="25.7109375" customWidth="1"/>
    <col min="3" max="3" width="50.85546875" style="2" customWidth="1"/>
    <col min="4" max="5" width="25.7109375" customWidth="1"/>
    <col min="6" max="6" width="25.7109375" style="2" customWidth="1"/>
    <col min="7" max="8" width="37" customWidth="1"/>
    <col min="9" max="9" width="63.42578125" customWidth="1"/>
  </cols>
  <sheetData>
    <row r="1" spans="1:9" s="1" customFormat="1" ht="13.5" customHeight="1" x14ac:dyDescent="0.25">
      <c r="A1" s="1" t="s">
        <v>564</v>
      </c>
      <c r="B1" s="1" t="s">
        <v>565</v>
      </c>
      <c r="C1" s="1" t="s">
        <v>1095</v>
      </c>
      <c r="D1" s="1" t="s">
        <v>566</v>
      </c>
      <c r="E1" s="1" t="s">
        <v>567</v>
      </c>
      <c r="F1" s="1" t="s">
        <v>729</v>
      </c>
      <c r="G1" s="1" t="s">
        <v>716</v>
      </c>
      <c r="H1" s="1" t="s">
        <v>717</v>
      </c>
      <c r="I1" s="1" t="s">
        <v>733</v>
      </c>
    </row>
    <row r="2" spans="1:9" x14ac:dyDescent="0.25">
      <c r="A2" t="s">
        <v>563</v>
      </c>
      <c r="B2" t="s">
        <v>0</v>
      </c>
      <c r="C2" s="2" t="s">
        <v>875</v>
      </c>
      <c r="D2" t="s">
        <v>1</v>
      </c>
      <c r="H2" t="s">
        <v>718</v>
      </c>
      <c r="I2" t="str">
        <f>CONCATENATE(B2," ",IF(ISBLANK(H2),D2,H2)," ", ",")</f>
        <v>flowchart_run_id SMALLINT ,</v>
      </c>
    </row>
    <row r="3" spans="1:9" x14ac:dyDescent="0.25">
      <c r="B3" t="s">
        <v>2</v>
      </c>
      <c r="D3" t="s">
        <v>3</v>
      </c>
      <c r="E3" t="s">
        <v>4</v>
      </c>
      <c r="G3" t="s">
        <v>568</v>
      </c>
      <c r="H3" t="s">
        <v>718</v>
      </c>
      <c r="I3" s="2" t="str">
        <f>CONCATENATE(B3," ",IF(ISBLANK(H3),D3,H3)," ", ",")</f>
        <v>measure_id SMALLINT ,</v>
      </c>
    </row>
    <row r="4" spans="1:9" x14ac:dyDescent="0.25">
      <c r="B4" t="s">
        <v>5</v>
      </c>
      <c r="C4" s="2" t="s">
        <v>913</v>
      </c>
      <c r="D4" t="s">
        <v>6</v>
      </c>
      <c r="E4" t="s">
        <v>4</v>
      </c>
      <c r="G4" t="s">
        <v>569</v>
      </c>
      <c r="H4" t="s">
        <v>719</v>
      </c>
      <c r="I4" s="2" t="str">
        <f>CONCATENATE(B4," ",IF(ISBLANK(H4),D4,H4)," ", ",")</f>
        <v>member_id INTEGER ,</v>
      </c>
    </row>
    <row r="5" spans="1:9" x14ac:dyDescent="0.25">
      <c r="B5" t="s">
        <v>7</v>
      </c>
      <c r="C5" s="2" t="s">
        <v>915</v>
      </c>
      <c r="D5" t="s">
        <v>8</v>
      </c>
      <c r="E5" t="s">
        <v>4</v>
      </c>
      <c r="G5" t="s">
        <v>569</v>
      </c>
      <c r="I5" s="2" t="str">
        <f>CONCATENATE(B5," ",IF(ISBLANK(H5),D5,H5)," ", ",")</f>
        <v>membername VARCHAR(100) ,</v>
      </c>
    </row>
    <row r="6" spans="1:9" x14ac:dyDescent="0.25">
      <c r="A6" t="s">
        <v>563</v>
      </c>
      <c r="B6" t="s">
        <v>9</v>
      </c>
      <c r="C6" s="2" t="s">
        <v>914</v>
      </c>
      <c r="D6" t="s">
        <v>10</v>
      </c>
      <c r="H6" t="s">
        <v>720</v>
      </c>
      <c r="I6" s="2" t="str">
        <f>CONCATENATE(B6," ",IF(ISBLANK(H6),D6,H6)," ", ",")</f>
        <v>memberkey BIGINT ,</v>
      </c>
    </row>
    <row r="7" spans="1:9" x14ac:dyDescent="0.25">
      <c r="A7" t="s">
        <v>563</v>
      </c>
      <c r="B7" t="s">
        <v>11</v>
      </c>
      <c r="C7" s="2" t="s">
        <v>1020</v>
      </c>
      <c r="D7" t="s">
        <v>12</v>
      </c>
      <c r="I7" s="2" t="str">
        <f>CONCATENATE(B7," ",IF(ISBLANK(H7),D7,H7)," ", ",")</f>
        <v>submeasure_key VARCHAR(10) ,</v>
      </c>
    </row>
    <row r="8" spans="1:9" x14ac:dyDescent="0.25">
      <c r="B8" t="s">
        <v>13</v>
      </c>
      <c r="C8" s="2" t="s">
        <v>912</v>
      </c>
      <c r="D8" t="s">
        <v>6</v>
      </c>
      <c r="E8" t="s">
        <v>4</v>
      </c>
      <c r="G8" t="s">
        <v>569</v>
      </c>
      <c r="H8" t="s">
        <v>719</v>
      </c>
      <c r="I8" s="2" t="str">
        <f>CONCATENATE(B8," ",IF(ISBLANK(H8),D8,H8)," ", ",")</f>
        <v>member_enrollment_id INTEGER ,</v>
      </c>
    </row>
    <row r="9" spans="1:9" x14ac:dyDescent="0.25">
      <c r="B9" t="s">
        <v>14</v>
      </c>
      <c r="C9" s="2" t="s">
        <v>834</v>
      </c>
      <c r="D9" t="s">
        <v>15</v>
      </c>
      <c r="E9" t="s">
        <v>4</v>
      </c>
      <c r="G9" t="s">
        <v>570</v>
      </c>
      <c r="H9" s="2" t="s">
        <v>721</v>
      </c>
      <c r="I9" s="2" t="str">
        <f>CONCATENATE(B9," ",IF(ISBLANK(H9),D9,H9)," ", ",")</f>
        <v>clssdt TIMESTAMP ,</v>
      </c>
    </row>
    <row r="10" spans="1:9" x14ac:dyDescent="0.25">
      <c r="B10" t="s">
        <v>16</v>
      </c>
      <c r="C10" s="2" t="s">
        <v>857</v>
      </c>
      <c r="D10" t="s">
        <v>3</v>
      </c>
      <c r="E10" t="s">
        <v>4</v>
      </c>
      <c r="G10" t="s">
        <v>571</v>
      </c>
      <c r="H10" t="s">
        <v>722</v>
      </c>
      <c r="I10" s="2" t="str">
        <f>CONCATENATE(B10," ",IF(ISBLANK(H10),D10,H10)," ", ",")</f>
        <v>denomflg CHAR(1) ,</v>
      </c>
    </row>
    <row r="11" spans="1:9" x14ac:dyDescent="0.25">
      <c r="B11" t="s">
        <v>17</v>
      </c>
      <c r="C11" s="2" t="s">
        <v>889</v>
      </c>
      <c r="D11" t="s">
        <v>15</v>
      </c>
      <c r="E11" t="s">
        <v>4</v>
      </c>
      <c r="G11" t="s">
        <v>572</v>
      </c>
      <c r="H11" t="s">
        <v>721</v>
      </c>
      <c r="I11" s="2" t="str">
        <f>CONCATENATE(B11," ",IF(ISBLANK(H11),D11,H11)," ", ",")</f>
        <v>iesd TIMESTAMP ,</v>
      </c>
    </row>
    <row r="12" spans="1:9" x14ac:dyDescent="0.25">
      <c r="B12" t="s">
        <v>18</v>
      </c>
      <c r="C12" s="2" t="s">
        <v>936</v>
      </c>
      <c r="D12" t="s">
        <v>3</v>
      </c>
      <c r="E12" t="s">
        <v>4</v>
      </c>
      <c r="G12" t="s">
        <v>573</v>
      </c>
      <c r="H12" t="s">
        <v>722</v>
      </c>
      <c r="I12" s="2" t="str">
        <f>CONCATENATE(B12," ",IF(ISBLANK(H12),D12,H12)," ", ",")</f>
        <v>numerflg CHAR(1) ,</v>
      </c>
    </row>
    <row r="13" spans="1:9" x14ac:dyDescent="0.25">
      <c r="B13" t="s">
        <v>19</v>
      </c>
      <c r="C13" s="2" t="s">
        <v>1024</v>
      </c>
      <c r="D13" t="s">
        <v>3</v>
      </c>
      <c r="E13" t="s">
        <v>4</v>
      </c>
      <c r="G13" t="s">
        <v>574</v>
      </c>
      <c r="H13" t="s">
        <v>722</v>
      </c>
      <c r="I13" s="2" t="str">
        <f>CONCATENATE(B13," ",IF(ISBLANK(H13),D13,H13)," ", ",")</f>
        <v>suppdenom CHAR(1) ,</v>
      </c>
    </row>
    <row r="14" spans="1:9" x14ac:dyDescent="0.25">
      <c r="B14" t="s">
        <v>20</v>
      </c>
      <c r="C14" s="2" t="s">
        <v>1027</v>
      </c>
      <c r="D14" t="s">
        <v>3</v>
      </c>
      <c r="E14" t="s">
        <v>4</v>
      </c>
      <c r="G14" t="s">
        <v>574</v>
      </c>
      <c r="H14" t="s">
        <v>722</v>
      </c>
      <c r="I14" s="2" t="str">
        <f>CONCATENATE(B14," ",IF(ISBLANK(H14),D14,H14)," ", ",")</f>
        <v>suppnumer CHAR(1) ,</v>
      </c>
    </row>
    <row r="15" spans="1:9" x14ac:dyDescent="0.25">
      <c r="B15" t="s">
        <v>21</v>
      </c>
      <c r="D15" t="s">
        <v>3</v>
      </c>
      <c r="E15" t="s">
        <v>4</v>
      </c>
      <c r="G15" t="s">
        <v>575</v>
      </c>
      <c r="H15" t="s">
        <v>722</v>
      </c>
      <c r="I15" s="2" t="str">
        <f>CONCATENATE(B15," ",IF(ISBLANK(H15),D15,H15)," ", ",")</f>
        <v>spnumcnt CHAR(1) ,</v>
      </c>
    </row>
    <row r="16" spans="1:9" x14ac:dyDescent="0.25">
      <c r="B16" t="s">
        <v>22</v>
      </c>
      <c r="C16" s="2" t="s">
        <v>856</v>
      </c>
      <c r="D16" t="s">
        <v>3</v>
      </c>
      <c r="E16" t="s">
        <v>4</v>
      </c>
      <c r="G16" t="s">
        <v>576</v>
      </c>
      <c r="H16" t="s">
        <v>722</v>
      </c>
      <c r="I16" s="2" t="str">
        <f>CONCATENATE(B16," ",IF(ISBLANK(H16),D16,H16)," ", ",")</f>
        <v>denomcnt CHAR(1) ,</v>
      </c>
    </row>
    <row r="17" spans="2:9" x14ac:dyDescent="0.25">
      <c r="B17" t="s">
        <v>23</v>
      </c>
      <c r="C17" s="2" t="s">
        <v>935</v>
      </c>
      <c r="D17" t="s">
        <v>3</v>
      </c>
      <c r="E17" t="s">
        <v>4</v>
      </c>
      <c r="G17" t="s">
        <v>577</v>
      </c>
      <c r="H17" t="s">
        <v>722</v>
      </c>
      <c r="I17" s="2" t="str">
        <f>CONCATENATE(B17," ",IF(ISBLANK(H17),D17,H17)," ", ",")</f>
        <v>numercnt CHAR(1) ,</v>
      </c>
    </row>
    <row r="18" spans="2:9" x14ac:dyDescent="0.25">
      <c r="B18" t="s">
        <v>24</v>
      </c>
      <c r="C18" s="2">
        <v>0</v>
      </c>
      <c r="D18" t="s">
        <v>25</v>
      </c>
      <c r="E18" t="s">
        <v>4</v>
      </c>
      <c r="G18" t="s">
        <v>569</v>
      </c>
      <c r="H18" t="s">
        <v>720</v>
      </c>
      <c r="I18" s="2" t="str">
        <f>CONCATENATE(B18," ",IF(ISBLANK(H18),D18,H18)," ", ",")</f>
        <v>member_enrollment_key BIGINT ,</v>
      </c>
    </row>
    <row r="19" spans="2:9" x14ac:dyDescent="0.25">
      <c r="B19" t="s">
        <v>26</v>
      </c>
      <c r="C19" s="2" t="s">
        <v>774</v>
      </c>
      <c r="D19" t="s">
        <v>12</v>
      </c>
      <c r="E19" t="s">
        <v>4</v>
      </c>
      <c r="G19" t="s">
        <v>578</v>
      </c>
      <c r="H19" t="s">
        <v>736</v>
      </c>
      <c r="I19" s="2" t="str">
        <f>CONCATENATE(B19," ",IF(ISBLANK(H19),D19,H19)," ", ",")</f>
        <v>coverage_begin_date DATE  FORMAT 'YYYY-MM-DD' ,</v>
      </c>
    </row>
    <row r="20" spans="2:9" x14ac:dyDescent="0.25">
      <c r="B20" t="s">
        <v>27</v>
      </c>
      <c r="C20" s="2" t="s">
        <v>775</v>
      </c>
      <c r="D20" t="s">
        <v>12</v>
      </c>
      <c r="E20" t="s">
        <v>4</v>
      </c>
      <c r="G20" t="s">
        <v>579</v>
      </c>
      <c r="H20" s="2" t="s">
        <v>736</v>
      </c>
      <c r="I20" s="2" t="str">
        <f>CONCATENATE(B20," ",IF(ISBLANK(H20),D20,H20)," ", ",")</f>
        <v>coverage_end_date DATE  FORMAT 'YYYY-MM-DD' ,</v>
      </c>
    </row>
    <row r="21" spans="2:9" x14ac:dyDescent="0.25">
      <c r="B21" t="s">
        <v>28</v>
      </c>
      <c r="C21" s="2" t="s">
        <v>1046</v>
      </c>
      <c r="D21" t="s">
        <v>10</v>
      </c>
      <c r="E21" t="s">
        <v>4</v>
      </c>
      <c r="G21" t="s">
        <v>569</v>
      </c>
      <c r="H21" t="s">
        <v>720</v>
      </c>
      <c r="I21" s="2" t="str">
        <f>CONCATENATE(B21," ",IF(ISBLANK(H21),D21,H21)," ", ",")</f>
        <v>subscriber_key BIGINT ,</v>
      </c>
    </row>
    <row r="22" spans="2:9" x14ac:dyDescent="0.25">
      <c r="B22" t="s">
        <v>29</v>
      </c>
      <c r="C22" s="2" t="s">
        <v>1047</v>
      </c>
      <c r="D22" t="s">
        <v>30</v>
      </c>
      <c r="E22" t="s">
        <v>4</v>
      </c>
      <c r="G22" t="s">
        <v>580</v>
      </c>
      <c r="I22" s="2" t="str">
        <f>CONCATENATE(B22," ",IF(ISBLANK(H22),D22,H22)," ", ",")</f>
        <v>provider_key VARCHAR(13) ,</v>
      </c>
    </row>
    <row r="23" spans="2:9" x14ac:dyDescent="0.25">
      <c r="B23" t="s">
        <v>31</v>
      </c>
      <c r="C23" s="2" t="s">
        <v>1048</v>
      </c>
      <c r="D23" t="s">
        <v>8</v>
      </c>
      <c r="E23" t="s">
        <v>4</v>
      </c>
      <c r="G23" t="s">
        <v>581</v>
      </c>
      <c r="I23" s="2" t="str">
        <f>CONCATENATE(B23," ",IF(ISBLANK(H23),D23,H23)," ", ",")</f>
        <v>provider_name VARCHAR(100) ,</v>
      </c>
    </row>
    <row r="24" spans="2:9" x14ac:dyDescent="0.25">
      <c r="B24" t="s">
        <v>32</v>
      </c>
      <c r="C24" s="2" t="s">
        <v>1049</v>
      </c>
      <c r="D24" t="s">
        <v>3</v>
      </c>
      <c r="E24" t="s">
        <v>4</v>
      </c>
      <c r="G24" t="s">
        <v>582</v>
      </c>
      <c r="H24" t="s">
        <v>722</v>
      </c>
      <c r="I24" s="2" t="str">
        <f>CONCATENATE(B24," ",IF(ISBLANK(H24),D24,H24)," ", ",")</f>
        <v>mental_inpatient_flag CHAR(1) ,</v>
      </c>
    </row>
    <row r="25" spans="2:9" x14ac:dyDescent="0.25">
      <c r="B25" t="s">
        <v>33</v>
      </c>
      <c r="C25" s="2" t="s">
        <v>1050</v>
      </c>
      <c r="D25" t="s">
        <v>3</v>
      </c>
      <c r="E25" t="s">
        <v>4</v>
      </c>
      <c r="G25" t="s">
        <v>582</v>
      </c>
      <c r="H25" t="s">
        <v>722</v>
      </c>
      <c r="I25" s="2" t="str">
        <f>CONCATENATE(B25," ",IF(ISBLANK(H25),D25,H25)," ", ",")</f>
        <v>mental_ambulatory_flag CHAR(1) ,</v>
      </c>
    </row>
    <row r="26" spans="2:9" x14ac:dyDescent="0.25">
      <c r="B26" t="s">
        <v>34</v>
      </c>
      <c r="C26" s="2" t="s">
        <v>1051</v>
      </c>
      <c r="D26" t="s">
        <v>3</v>
      </c>
      <c r="E26" t="s">
        <v>4</v>
      </c>
      <c r="G26" t="s">
        <v>582</v>
      </c>
      <c r="H26" t="s">
        <v>722</v>
      </c>
      <c r="I26" s="2" t="str">
        <f>CONCATENATE(B26," ",IF(ISBLANK(H26),D26,H26)," ", ",")</f>
        <v>mental_day_night_flag CHAR(1) ,</v>
      </c>
    </row>
    <row r="27" spans="2:9" x14ac:dyDescent="0.25">
      <c r="B27" t="s">
        <v>35</v>
      </c>
      <c r="C27" s="2" t="s">
        <v>1052</v>
      </c>
      <c r="D27" t="s">
        <v>3</v>
      </c>
      <c r="E27" t="s">
        <v>4</v>
      </c>
      <c r="G27" t="s">
        <v>582</v>
      </c>
      <c r="H27" t="s">
        <v>722</v>
      </c>
      <c r="I27" s="2" t="str">
        <f>CONCATENATE(B27," ",IF(ISBLANK(H27),D27,H27)," ", ",")</f>
        <v>chem_inpatient_flag CHAR(1) ,</v>
      </c>
    </row>
    <row r="28" spans="2:9" x14ac:dyDescent="0.25">
      <c r="B28" t="s">
        <v>36</v>
      </c>
      <c r="C28" s="2" t="s">
        <v>1053</v>
      </c>
      <c r="D28" t="s">
        <v>3</v>
      </c>
      <c r="E28" t="s">
        <v>4</v>
      </c>
      <c r="G28" t="s">
        <v>582</v>
      </c>
      <c r="H28" t="s">
        <v>722</v>
      </c>
      <c r="I28" s="2" t="str">
        <f>CONCATENATE(B28," ",IF(ISBLANK(H28),D28,H28)," ", ",")</f>
        <v>chem_ambulatory_flag CHAR(1) ,</v>
      </c>
    </row>
    <row r="29" spans="2:9" x14ac:dyDescent="0.25">
      <c r="B29" t="s">
        <v>37</v>
      </c>
      <c r="C29" s="2" t="s">
        <v>1054</v>
      </c>
      <c r="D29" t="s">
        <v>3</v>
      </c>
      <c r="E29" t="s">
        <v>4</v>
      </c>
      <c r="G29" t="s">
        <v>582</v>
      </c>
      <c r="H29" t="s">
        <v>722</v>
      </c>
      <c r="I29" s="2" t="str">
        <f>CONCATENATE(B29," ",IF(ISBLANK(H29),D29,H29)," ", ",")</f>
        <v>chem_day_night_flag CHAR(1) ,</v>
      </c>
    </row>
    <row r="30" spans="2:9" x14ac:dyDescent="0.25">
      <c r="B30" t="s">
        <v>38</v>
      </c>
      <c r="C30" s="2" t="s">
        <v>1055</v>
      </c>
      <c r="D30" t="s">
        <v>3</v>
      </c>
      <c r="E30" t="s">
        <v>4</v>
      </c>
      <c r="G30" t="s">
        <v>583</v>
      </c>
      <c r="H30" t="s">
        <v>722</v>
      </c>
      <c r="I30" s="2" t="str">
        <f>CONCATENATE(B30," ",IF(ISBLANK(H30),D30,H30)," ", ",")</f>
        <v>dental_flag CHAR(1) ,</v>
      </c>
    </row>
    <row r="31" spans="2:9" x14ac:dyDescent="0.25">
      <c r="B31" t="s">
        <v>39</v>
      </c>
      <c r="C31" s="2" t="s">
        <v>1056</v>
      </c>
      <c r="D31" t="s">
        <v>3</v>
      </c>
      <c r="E31" t="s">
        <v>4</v>
      </c>
      <c r="G31" t="s">
        <v>584</v>
      </c>
      <c r="H31" t="s">
        <v>722</v>
      </c>
      <c r="I31" s="2" t="str">
        <f>CONCATENATE(B31," ",IF(ISBLANK(H31),D31,H31)," ", ",")</f>
        <v>dm_eligible_flag CHAR(1) ,</v>
      </c>
    </row>
    <row r="32" spans="2:9" x14ac:dyDescent="0.25">
      <c r="B32" t="s">
        <v>40</v>
      </c>
      <c r="C32" s="2" t="s">
        <v>1057</v>
      </c>
      <c r="D32" t="s">
        <v>3</v>
      </c>
      <c r="E32" t="s">
        <v>4</v>
      </c>
      <c r="G32" t="s">
        <v>584</v>
      </c>
      <c r="H32" t="s">
        <v>722</v>
      </c>
      <c r="I32" s="2" t="str">
        <f>CONCATENATE(B32," ",IF(ISBLANK(H32),D32,H32)," ", ",")</f>
        <v>hospice_flag CHAR(1) ,</v>
      </c>
    </row>
    <row r="33" spans="2:9" x14ac:dyDescent="0.25">
      <c r="B33" t="s">
        <v>41</v>
      </c>
      <c r="C33" s="2" t="s">
        <v>1058</v>
      </c>
      <c r="D33" t="s">
        <v>3</v>
      </c>
      <c r="E33" t="s">
        <v>4</v>
      </c>
      <c r="G33" t="s">
        <v>582</v>
      </c>
      <c r="H33" t="s">
        <v>722</v>
      </c>
      <c r="I33" s="2" t="str">
        <f>CONCATENATE(B33," ",IF(ISBLANK(H33),D33,H33)," ", ",")</f>
        <v>rx_flag CHAR(1) ,</v>
      </c>
    </row>
    <row r="34" spans="2:9" x14ac:dyDescent="0.25">
      <c r="B34" t="s">
        <v>42</v>
      </c>
      <c r="C34" s="2" t="s">
        <v>1059</v>
      </c>
      <c r="D34" t="s">
        <v>3</v>
      </c>
      <c r="E34" t="s">
        <v>4</v>
      </c>
      <c r="G34" t="s">
        <v>583</v>
      </c>
      <c r="H34" t="s">
        <v>722</v>
      </c>
      <c r="I34" s="2" t="str">
        <f>CONCATENATE(B34," ",IF(ISBLANK(H34),D34,H34)," ", ",")</f>
        <v>plan_employee_flag CHAR(1) ,</v>
      </c>
    </row>
    <row r="35" spans="2:9" x14ac:dyDescent="0.25">
      <c r="B35" t="s">
        <v>43</v>
      </c>
      <c r="C35" s="2" t="s">
        <v>1060</v>
      </c>
      <c r="D35" t="s">
        <v>3</v>
      </c>
      <c r="E35" t="s">
        <v>4</v>
      </c>
      <c r="G35" t="s">
        <v>582</v>
      </c>
      <c r="H35" t="s">
        <v>722</v>
      </c>
      <c r="I35" s="2" t="str">
        <f>CONCATENATE(B35," ",IF(ISBLANK(H35),D35,H35)," ", ",")</f>
        <v>vision_flag CHAR(1) ,</v>
      </c>
    </row>
    <row r="36" spans="2:9" x14ac:dyDescent="0.25">
      <c r="B36" t="s">
        <v>44</v>
      </c>
      <c r="C36" s="2" t="s">
        <v>1061</v>
      </c>
      <c r="D36" t="s">
        <v>12</v>
      </c>
      <c r="E36" t="s">
        <v>4</v>
      </c>
      <c r="G36" t="s">
        <v>569</v>
      </c>
      <c r="I36" s="2" t="str">
        <f>CONCATENATE(B36," ",IF(ISBLANK(H36),D36,H36)," ", ",")</f>
        <v>dm_severity_factor VARCHAR(10) ,</v>
      </c>
    </row>
    <row r="37" spans="2:9" x14ac:dyDescent="0.25">
      <c r="B37" t="s">
        <v>45</v>
      </c>
      <c r="C37" s="2" t="s">
        <v>1062</v>
      </c>
      <c r="D37" t="s">
        <v>1</v>
      </c>
      <c r="E37" t="s">
        <v>4</v>
      </c>
      <c r="G37" t="s">
        <v>585</v>
      </c>
      <c r="H37" t="s">
        <v>723</v>
      </c>
      <c r="I37" s="2" t="str">
        <f>CONCATENATE(B37," ",IF(ISBLANK(H37),D37,H37)," ", ",")</f>
        <v>payer_code CHAR(2) ,</v>
      </c>
    </row>
    <row r="38" spans="2:9" x14ac:dyDescent="0.25">
      <c r="B38" t="s">
        <v>46</v>
      </c>
      <c r="C38" s="2" t="s">
        <v>1063</v>
      </c>
      <c r="D38" t="s">
        <v>3</v>
      </c>
      <c r="E38" t="s">
        <v>4</v>
      </c>
      <c r="G38" t="s">
        <v>586</v>
      </c>
      <c r="H38" t="s">
        <v>722</v>
      </c>
      <c r="I38" s="2" t="str">
        <f>CONCATENATE(B38," ",IF(ISBLANK(H38),D38,H38)," ", ",")</f>
        <v>product_code CHAR(1) ,</v>
      </c>
    </row>
    <row r="39" spans="2:9" x14ac:dyDescent="0.25">
      <c r="B39" t="s">
        <v>47</v>
      </c>
      <c r="C39" s="2" t="s">
        <v>1064</v>
      </c>
      <c r="D39" t="s">
        <v>48</v>
      </c>
      <c r="E39" t="s">
        <v>4</v>
      </c>
      <c r="G39" t="s">
        <v>587</v>
      </c>
      <c r="H39" t="s">
        <v>724</v>
      </c>
      <c r="I39" s="2" t="str">
        <f>CONCATENATE(B39," ",IF(ISBLANK(H39),D39,H39)," ", ",")</f>
        <v>medicare_contract_code CHAR(5) ,</v>
      </c>
    </row>
    <row r="40" spans="2:9" x14ac:dyDescent="0.25">
      <c r="B40" t="s">
        <v>49</v>
      </c>
      <c r="C40" s="2" t="s">
        <v>776</v>
      </c>
      <c r="D40" t="s">
        <v>50</v>
      </c>
      <c r="E40" t="s">
        <v>4</v>
      </c>
      <c r="G40" t="s">
        <v>588</v>
      </c>
      <c r="H40" t="s">
        <v>725</v>
      </c>
      <c r="I40" s="2" t="str">
        <f>CONCATENATE(B40," ",IF(ISBLANK(H40),D40,H40)," ", ",")</f>
        <v>reportingcategoryidentifier1 CHAR(4) ,</v>
      </c>
    </row>
    <row r="41" spans="2:9" x14ac:dyDescent="0.25">
      <c r="B41" t="s">
        <v>51</v>
      </c>
      <c r="C41" s="2" t="s">
        <v>777</v>
      </c>
      <c r="D41" t="s">
        <v>50</v>
      </c>
      <c r="E41" t="s">
        <v>4</v>
      </c>
      <c r="G41" t="s">
        <v>569</v>
      </c>
      <c r="I41" s="2" t="str">
        <f>CONCATENATE(B41," ",IF(ISBLANK(H41),D41,H41)," ", ",")</f>
        <v>reportingcategoryidentifier2 VARCHAR(50) ,</v>
      </c>
    </row>
    <row r="42" spans="2:9" x14ac:dyDescent="0.25">
      <c r="B42" t="s">
        <v>52</v>
      </c>
      <c r="C42" s="2" t="s">
        <v>778</v>
      </c>
      <c r="D42" t="s">
        <v>50</v>
      </c>
      <c r="E42" t="s">
        <v>4</v>
      </c>
      <c r="G42" t="s">
        <v>569</v>
      </c>
      <c r="I42" s="2" t="str">
        <f>CONCATENATE(B42," ",IF(ISBLANK(H42),D42,H42)," ", ",")</f>
        <v>reportingcategoryidentifier3 VARCHAR(50) ,</v>
      </c>
    </row>
    <row r="43" spans="2:9" x14ac:dyDescent="0.25">
      <c r="B43" t="s">
        <v>53</v>
      </c>
      <c r="C43" s="2" t="s">
        <v>779</v>
      </c>
      <c r="D43" t="s">
        <v>50</v>
      </c>
      <c r="E43" t="s">
        <v>4</v>
      </c>
      <c r="G43" t="s">
        <v>589</v>
      </c>
      <c r="I43" s="2" t="str">
        <f>CONCATENATE(B43," ",IF(ISBLANK(H43),D43,H43)," ", ",")</f>
        <v>reportingcategoryidentifier4 VARCHAR(50) ,</v>
      </c>
    </row>
    <row r="44" spans="2:9" x14ac:dyDescent="0.25">
      <c r="B44" t="s">
        <v>54</v>
      </c>
      <c r="C44" s="2" t="s">
        <v>780</v>
      </c>
      <c r="D44" t="s">
        <v>50</v>
      </c>
      <c r="E44" t="s">
        <v>4</v>
      </c>
      <c r="G44" t="s">
        <v>590</v>
      </c>
      <c r="I44" s="2" t="str">
        <f>CONCATENATE(B44," ",IF(ISBLANK(H44),D44,H44)," ", ",")</f>
        <v>reportingcategoryidentifier5 VARCHAR(50) ,</v>
      </c>
    </row>
    <row r="45" spans="2:9" x14ac:dyDescent="0.25">
      <c r="B45" t="s">
        <v>55</v>
      </c>
      <c r="C45" s="2" t="s">
        <v>781</v>
      </c>
      <c r="D45" t="s">
        <v>50</v>
      </c>
      <c r="E45" t="s">
        <v>4</v>
      </c>
      <c r="G45" t="s">
        <v>569</v>
      </c>
      <c r="I45" s="2" t="str">
        <f>CONCATENATE(B45," ",IF(ISBLANK(H45),D45,H45)," ", ",")</f>
        <v>reportingcategoryidentifier6 VARCHAR(50) ,</v>
      </c>
    </row>
    <row r="46" spans="2:9" x14ac:dyDescent="0.25">
      <c r="B46" t="s">
        <v>56</v>
      </c>
      <c r="C46" s="2" t="s">
        <v>782</v>
      </c>
      <c r="D46" t="s">
        <v>50</v>
      </c>
      <c r="E46" t="s">
        <v>4</v>
      </c>
      <c r="G46" t="s">
        <v>591</v>
      </c>
      <c r="I46" s="2" t="str">
        <f>CONCATENATE(B46," ",IF(ISBLANK(H46),D46,H46)," ", ",")</f>
        <v>reportingcategoryidentifier7 VARCHAR(50) ,</v>
      </c>
    </row>
    <row r="47" spans="2:9" x14ac:dyDescent="0.25">
      <c r="B47" t="s">
        <v>57</v>
      </c>
      <c r="C47" s="2" t="s">
        <v>783</v>
      </c>
      <c r="D47" t="s">
        <v>50</v>
      </c>
      <c r="E47" t="s">
        <v>4</v>
      </c>
      <c r="G47" t="s">
        <v>592</v>
      </c>
      <c r="I47" s="2" t="str">
        <f>CONCATENATE(B47," ",IF(ISBLANK(H47),D47,H47)," ", ",")</f>
        <v>reportingcategoryidentifier8 VARCHAR(50) ,</v>
      </c>
    </row>
    <row r="48" spans="2:9" x14ac:dyDescent="0.25">
      <c r="B48" t="s">
        <v>58</v>
      </c>
      <c r="C48" s="2" t="s">
        <v>784</v>
      </c>
      <c r="D48" t="s">
        <v>50</v>
      </c>
      <c r="E48" t="s">
        <v>4</v>
      </c>
      <c r="G48" t="s">
        <v>593</v>
      </c>
      <c r="I48" s="2" t="str">
        <f>CONCATENATE(B48," ",IF(ISBLANK(H48),D48,H48)," ", ",")</f>
        <v>reportingcategoryidentifier9 VARCHAR(50) ,</v>
      </c>
    </row>
    <row r="49" spans="2:9" x14ac:dyDescent="0.25">
      <c r="B49" t="s">
        <v>59</v>
      </c>
      <c r="C49" s="2" t="s">
        <v>785</v>
      </c>
      <c r="D49" t="s">
        <v>50</v>
      </c>
      <c r="E49" t="s">
        <v>4</v>
      </c>
      <c r="G49" t="s">
        <v>594</v>
      </c>
      <c r="I49" s="2" t="str">
        <f>CONCATENATE(B49," ",IF(ISBLANK(H49),D49,H49)," ", ",")</f>
        <v>reportingcategoryidentifier10 VARCHAR(50) ,</v>
      </c>
    </row>
    <row r="50" spans="2:9" x14ac:dyDescent="0.25">
      <c r="B50" t="s">
        <v>60</v>
      </c>
      <c r="C50" s="2" t="s">
        <v>786</v>
      </c>
      <c r="D50" t="s">
        <v>50</v>
      </c>
      <c r="E50" t="s">
        <v>4</v>
      </c>
      <c r="G50" t="s">
        <v>595</v>
      </c>
      <c r="I50" s="2" t="str">
        <f>CONCATENATE(B50," ",IF(ISBLANK(H50),D50,H50)," ", ",")</f>
        <v>reportingcategoryidentifier11 VARCHAR(50) ,</v>
      </c>
    </row>
    <row r="51" spans="2:9" x14ac:dyDescent="0.25">
      <c r="B51" t="s">
        <v>61</v>
      </c>
      <c r="C51" s="2" t="s">
        <v>787</v>
      </c>
      <c r="D51" t="s">
        <v>50</v>
      </c>
      <c r="E51" t="s">
        <v>4</v>
      </c>
      <c r="G51" t="s">
        <v>596</v>
      </c>
      <c r="I51" s="2" t="str">
        <f>CONCATENATE(B51," ",IF(ISBLANK(H51),D51,H51)," ", ",")</f>
        <v>reportingcategoryidentifier12 VARCHAR(50) ,</v>
      </c>
    </row>
    <row r="52" spans="2:9" x14ac:dyDescent="0.25">
      <c r="B52" t="s">
        <v>62</v>
      </c>
      <c r="C52" s="2" t="s">
        <v>788</v>
      </c>
      <c r="D52" t="s">
        <v>50</v>
      </c>
      <c r="E52" t="s">
        <v>4</v>
      </c>
      <c r="G52" t="s">
        <v>597</v>
      </c>
      <c r="I52" s="2" t="str">
        <f>CONCATENATE(B52," ",IF(ISBLANK(H52),D52,H52)," ", ",")</f>
        <v>reportingcategoryidentifier13 VARCHAR(50) ,</v>
      </c>
    </row>
    <row r="53" spans="2:9" x14ac:dyDescent="0.25">
      <c r="B53" t="s">
        <v>63</v>
      </c>
      <c r="C53" s="2" t="s">
        <v>789</v>
      </c>
      <c r="D53" t="s">
        <v>50</v>
      </c>
      <c r="E53" t="s">
        <v>4</v>
      </c>
      <c r="G53" t="s">
        <v>598</v>
      </c>
      <c r="I53" s="2" t="str">
        <f>CONCATENATE(B53," ",IF(ISBLANK(H53),D53,H53)," ", ",")</f>
        <v>reportingcategoryidentifier14 VARCHAR(50) ,</v>
      </c>
    </row>
    <row r="54" spans="2:9" x14ac:dyDescent="0.25">
      <c r="B54" t="s">
        <v>64</v>
      </c>
      <c r="C54" s="2" t="s">
        <v>790</v>
      </c>
      <c r="D54" t="s">
        <v>50</v>
      </c>
      <c r="E54" t="s">
        <v>4</v>
      </c>
      <c r="G54" t="s">
        <v>569</v>
      </c>
      <c r="I54" s="2" t="str">
        <f>CONCATENATE(B54," ",IF(ISBLANK(H54),D54,H54)," ", ",")</f>
        <v>reportingcategoryidentifier15 VARCHAR(50) ,</v>
      </c>
    </row>
    <row r="55" spans="2:9" x14ac:dyDescent="0.25">
      <c r="B55" t="s">
        <v>65</v>
      </c>
      <c r="C55" s="2" t="s">
        <v>791</v>
      </c>
      <c r="D55" t="s">
        <v>50</v>
      </c>
      <c r="E55" t="s">
        <v>4</v>
      </c>
      <c r="G55" t="s">
        <v>569</v>
      </c>
      <c r="I55" s="2" t="str">
        <f>CONCATENATE(B55," ",IF(ISBLANK(H55),D55,H55)," ", ",")</f>
        <v>reportingcategoryidentifier16 VARCHAR(50) ,</v>
      </c>
    </row>
    <row r="56" spans="2:9" x14ac:dyDescent="0.25">
      <c r="B56" t="s">
        <v>66</v>
      </c>
      <c r="C56" s="2" t="s">
        <v>792</v>
      </c>
      <c r="D56" t="s">
        <v>50</v>
      </c>
      <c r="E56" t="s">
        <v>4</v>
      </c>
      <c r="G56" t="s">
        <v>569</v>
      </c>
      <c r="I56" s="2" t="str">
        <f>CONCATENATE(B56," ",IF(ISBLANK(H56),D56,H56)," ", ",")</f>
        <v>reportingcategoryidentifier17 VARCHAR(50) ,</v>
      </c>
    </row>
    <row r="57" spans="2:9" x14ac:dyDescent="0.25">
      <c r="B57" t="s">
        <v>67</v>
      </c>
      <c r="C57" s="2" t="s">
        <v>793</v>
      </c>
      <c r="D57" t="s">
        <v>50</v>
      </c>
      <c r="E57" t="s">
        <v>4</v>
      </c>
      <c r="G57" t="s">
        <v>569</v>
      </c>
      <c r="I57" s="2" t="str">
        <f>CONCATENATE(B57," ",IF(ISBLANK(H57),D57,H57)," ", ",")</f>
        <v>reportingcategoryidentifier18 VARCHAR(50) ,</v>
      </c>
    </row>
    <row r="58" spans="2:9" x14ac:dyDescent="0.25">
      <c r="B58" t="s">
        <v>68</v>
      </c>
      <c r="C58" s="2" t="s">
        <v>794</v>
      </c>
      <c r="D58" t="s">
        <v>50</v>
      </c>
      <c r="E58" t="s">
        <v>4</v>
      </c>
      <c r="G58" t="s">
        <v>569</v>
      </c>
      <c r="I58" s="2" t="str">
        <f>CONCATENATE(B58," ",IF(ISBLANK(H58),D58,H58)," ", ",")</f>
        <v>reportingcategoryidentifier19 VARCHAR(50) ,</v>
      </c>
    </row>
    <row r="59" spans="2:9" x14ac:dyDescent="0.25">
      <c r="B59" t="s">
        <v>69</v>
      </c>
      <c r="C59" s="2" t="s">
        <v>795</v>
      </c>
      <c r="D59" t="s">
        <v>50</v>
      </c>
      <c r="E59" t="s">
        <v>4</v>
      </c>
      <c r="G59" t="s">
        <v>569</v>
      </c>
      <c r="I59" s="2" t="str">
        <f>CONCATENATE(B59," ",IF(ISBLANK(H59),D59,H59)," ", ",")</f>
        <v>reportingcategoryidentifier20 VARCHAR(50) ,</v>
      </c>
    </row>
    <row r="60" spans="2:9" x14ac:dyDescent="0.25">
      <c r="B60" t="s">
        <v>70</v>
      </c>
      <c r="C60" s="2" t="s">
        <v>796</v>
      </c>
      <c r="D60" t="s">
        <v>50</v>
      </c>
      <c r="E60" t="s">
        <v>4</v>
      </c>
      <c r="G60" t="s">
        <v>569</v>
      </c>
      <c r="I60" s="2" t="str">
        <f>CONCATENATE(B60," ",IF(ISBLANK(H60),D60,H60)," ", ",")</f>
        <v>reportingcategoryidentifier21 VARCHAR(50) ,</v>
      </c>
    </row>
    <row r="61" spans="2:9" x14ac:dyDescent="0.25">
      <c r="B61" t="s">
        <v>71</v>
      </c>
      <c r="C61" s="2" t="s">
        <v>796</v>
      </c>
      <c r="D61" t="s">
        <v>50</v>
      </c>
      <c r="E61" t="s">
        <v>4</v>
      </c>
      <c r="G61" t="s">
        <v>569</v>
      </c>
      <c r="I61" s="2" t="str">
        <f>CONCATENATE(B61," ",IF(ISBLANK(H61),D61,H61)," ", ",")</f>
        <v>reportingcategoryidentifier22 VARCHAR(50) ,</v>
      </c>
    </row>
    <row r="62" spans="2:9" x14ac:dyDescent="0.25">
      <c r="B62" t="s">
        <v>72</v>
      </c>
      <c r="C62" s="2" t="s">
        <v>796</v>
      </c>
      <c r="D62" t="s">
        <v>50</v>
      </c>
      <c r="E62" t="s">
        <v>4</v>
      </c>
      <c r="G62" t="s">
        <v>569</v>
      </c>
      <c r="I62" s="2" t="str">
        <f>CONCATENATE(B62," ",IF(ISBLANK(H62),D62,H62)," ", ",")</f>
        <v>reportingcategoryidentifier23 VARCHAR(50) ,</v>
      </c>
    </row>
    <row r="63" spans="2:9" x14ac:dyDescent="0.25">
      <c r="B63" t="s">
        <v>73</v>
      </c>
      <c r="C63" s="2" t="s">
        <v>1065</v>
      </c>
      <c r="D63" t="s">
        <v>12</v>
      </c>
      <c r="E63" t="s">
        <v>4</v>
      </c>
      <c r="G63" t="s">
        <v>569</v>
      </c>
      <c r="H63" t="s">
        <v>736</v>
      </c>
      <c r="I63" s="2" t="str">
        <f>CONCATENATE(B63," ",IF(ISBLANK(H63),D63,H63)," ", ",")</f>
        <v>birth_date DATE  FORMAT 'YYYY-MM-DD' ,</v>
      </c>
    </row>
    <row r="64" spans="2:9" x14ac:dyDescent="0.25">
      <c r="B64" t="s">
        <v>74</v>
      </c>
      <c r="C64" s="2" t="s">
        <v>1066</v>
      </c>
      <c r="D64" t="s">
        <v>3</v>
      </c>
      <c r="E64" t="s">
        <v>4</v>
      </c>
      <c r="G64" t="s">
        <v>599</v>
      </c>
      <c r="H64" t="s">
        <v>722</v>
      </c>
      <c r="I64" s="2" t="str">
        <f>CONCATENATE(B64," ",IF(ISBLANK(H64),D64,H64)," ", ",")</f>
        <v>gender_code CHAR(1) ,</v>
      </c>
    </row>
    <row r="65" spans="2:9" x14ac:dyDescent="0.25">
      <c r="B65" t="s">
        <v>75</v>
      </c>
      <c r="C65" s="2" t="s">
        <v>1067</v>
      </c>
      <c r="D65" t="s">
        <v>30</v>
      </c>
      <c r="E65" t="s">
        <v>4</v>
      </c>
      <c r="G65" t="s">
        <v>569</v>
      </c>
      <c r="I65" s="2" t="str">
        <f>CONCATENATE(B65," ",IF(ISBLANK(H65),D65,H65)," ", ",")</f>
        <v>phone_number VARCHAR(13) ,</v>
      </c>
    </row>
    <row r="66" spans="2:9" x14ac:dyDescent="0.25">
      <c r="B66" t="s">
        <v>76</v>
      </c>
      <c r="C66" s="2" t="s">
        <v>1068</v>
      </c>
      <c r="D66" t="s">
        <v>8</v>
      </c>
      <c r="E66" t="s">
        <v>4</v>
      </c>
      <c r="G66" t="s">
        <v>569</v>
      </c>
      <c r="I66" s="2" t="str">
        <f>CONCATENATE(B66," ",IF(ISBLANK(H66),D66,H66)," ", ",")</f>
        <v>address_line_1 VARCHAR(100) ,</v>
      </c>
    </row>
    <row r="67" spans="2:9" x14ac:dyDescent="0.25">
      <c r="B67" t="s">
        <v>77</v>
      </c>
      <c r="C67" s="2" t="s">
        <v>1069</v>
      </c>
      <c r="D67" t="s">
        <v>8</v>
      </c>
      <c r="E67" t="s">
        <v>4</v>
      </c>
      <c r="G67" t="s">
        <v>600</v>
      </c>
      <c r="I67" s="2" t="str">
        <f>CONCATENATE(B67," ",IF(ISBLANK(H67),D67,H67)," ", ",")</f>
        <v>address_line_2 VARCHAR(100) ,</v>
      </c>
    </row>
    <row r="68" spans="2:9" x14ac:dyDescent="0.25">
      <c r="B68" t="s">
        <v>78</v>
      </c>
      <c r="C68" s="2" t="s">
        <v>1070</v>
      </c>
      <c r="D68" t="s">
        <v>79</v>
      </c>
      <c r="E68" t="s">
        <v>4</v>
      </c>
      <c r="G68" t="s">
        <v>601</v>
      </c>
      <c r="I68" s="2" t="str">
        <f>CONCATENATE(B68," ",IF(ISBLANK(H68),D68,H68)," ", ",")</f>
        <v>city VARCHAR(25) ,</v>
      </c>
    </row>
    <row r="69" spans="2:9" x14ac:dyDescent="0.25">
      <c r="B69" t="s">
        <v>80</v>
      </c>
      <c r="C69" s="2" t="s">
        <v>1071</v>
      </c>
      <c r="D69" t="s">
        <v>12</v>
      </c>
      <c r="E69" t="s">
        <v>4</v>
      </c>
      <c r="G69" t="s">
        <v>569</v>
      </c>
      <c r="I69" s="2" t="str">
        <f>CONCATENATE(B69," ",IF(ISBLANK(H69),D69,H69)," ", ",")</f>
        <v>county VARCHAR(10) ,</v>
      </c>
    </row>
    <row r="70" spans="2:9" x14ac:dyDescent="0.25">
      <c r="B70" t="s">
        <v>81</v>
      </c>
      <c r="C70" s="2" t="s">
        <v>1072</v>
      </c>
      <c r="D70" t="s">
        <v>1</v>
      </c>
      <c r="E70" t="s">
        <v>4</v>
      </c>
      <c r="G70" t="s">
        <v>602</v>
      </c>
      <c r="H70" t="s">
        <v>723</v>
      </c>
      <c r="I70" s="2" t="str">
        <f>CONCATENATE(B70," ",IF(ISBLANK(H70),D70,H70)," ", ",")</f>
        <v>state_code CHAR(2) ,</v>
      </c>
    </row>
    <row r="71" spans="2:9" x14ac:dyDescent="0.25">
      <c r="B71" t="s">
        <v>82</v>
      </c>
      <c r="C71" s="2" t="s">
        <v>1073</v>
      </c>
      <c r="D71" t="s">
        <v>83</v>
      </c>
      <c r="E71" t="s">
        <v>4</v>
      </c>
      <c r="G71" t="s">
        <v>569</v>
      </c>
      <c r="I71" s="2" t="str">
        <f>CONCATENATE(B71," ",IF(ISBLANK(H71),D71,H71)," ", ",")</f>
        <v>zip VARCHAR(9) ,</v>
      </c>
    </row>
    <row r="72" spans="2:9" x14ac:dyDescent="0.25">
      <c r="B72" t="s">
        <v>84</v>
      </c>
      <c r="C72" s="2" t="s">
        <v>1074</v>
      </c>
      <c r="D72" t="s">
        <v>85</v>
      </c>
      <c r="E72" t="s">
        <v>4</v>
      </c>
      <c r="G72" t="s">
        <v>569</v>
      </c>
      <c r="I72" s="2" t="str">
        <f>CONCATENATE(B72," ",IF(ISBLANK(H72),D72,H72)," ", ",")</f>
        <v>medicare_id VARCHAR(30) ,</v>
      </c>
    </row>
    <row r="73" spans="2:9" x14ac:dyDescent="0.25">
      <c r="B73" t="s">
        <v>86</v>
      </c>
      <c r="C73" s="2" t="s">
        <v>1075</v>
      </c>
      <c r="D73" t="s">
        <v>85</v>
      </c>
      <c r="E73" t="s">
        <v>4</v>
      </c>
      <c r="G73" t="s">
        <v>569</v>
      </c>
      <c r="I73" s="2" t="str">
        <f>CONCATENATE(B73," ",IF(ISBLANK(H73),D73,H73)," ", ",")</f>
        <v>medicaid_id VARCHAR(30) ,</v>
      </c>
    </row>
    <row r="74" spans="2:9" x14ac:dyDescent="0.25">
      <c r="B74" t="s">
        <v>87</v>
      </c>
      <c r="C74" s="2" t="s">
        <v>797</v>
      </c>
      <c r="D74" t="s">
        <v>85</v>
      </c>
      <c r="E74" t="s">
        <v>4</v>
      </c>
      <c r="G74" t="s">
        <v>590</v>
      </c>
      <c r="H74" t="s">
        <v>723</v>
      </c>
      <c r="I74" s="2" t="str">
        <f>CONCATENATE(B74," ",IF(ISBLANK(H74),D74,H74)," ", ",")</f>
        <v>member_altid1 CHAR(2) ,</v>
      </c>
    </row>
    <row r="75" spans="2:9" x14ac:dyDescent="0.25">
      <c r="B75" t="s">
        <v>88</v>
      </c>
      <c r="C75" s="2" t="s">
        <v>798</v>
      </c>
      <c r="D75" t="s">
        <v>85</v>
      </c>
      <c r="E75" t="s">
        <v>4</v>
      </c>
      <c r="G75" t="s">
        <v>569</v>
      </c>
      <c r="I75" s="2" t="str">
        <f>CONCATENATE(B75," ",IF(ISBLANK(H75),D75,H75)," ", ",")</f>
        <v>member_altid2 VARCHAR(30) ,</v>
      </c>
    </row>
    <row r="76" spans="2:9" x14ac:dyDescent="0.25">
      <c r="B76" t="s">
        <v>89</v>
      </c>
      <c r="C76" s="2" t="s">
        <v>799</v>
      </c>
      <c r="D76" t="s">
        <v>85</v>
      </c>
      <c r="E76" t="s">
        <v>4</v>
      </c>
      <c r="G76" t="s">
        <v>603</v>
      </c>
      <c r="I76" s="2" t="str">
        <f>CONCATENATE(B76," ",IF(ISBLANK(H76),D76,H76)," ", ",")</f>
        <v>member_altid3 VARCHAR(30) ,</v>
      </c>
    </row>
    <row r="77" spans="2:9" x14ac:dyDescent="0.25">
      <c r="B77" t="s">
        <v>90</v>
      </c>
      <c r="C77" s="2" t="s">
        <v>800</v>
      </c>
      <c r="D77" t="s">
        <v>85</v>
      </c>
      <c r="E77" t="s">
        <v>4</v>
      </c>
      <c r="G77" t="s">
        <v>604</v>
      </c>
      <c r="I77" s="2" t="str">
        <f>CONCATENATE(B77," ",IF(ISBLANK(H77),D77,H77)," ", ",")</f>
        <v>member_altid4 VARCHAR(30) ,</v>
      </c>
    </row>
    <row r="78" spans="2:9" x14ac:dyDescent="0.25">
      <c r="B78" t="s">
        <v>91</v>
      </c>
      <c r="C78" s="2" t="s">
        <v>801</v>
      </c>
      <c r="D78" t="s">
        <v>85</v>
      </c>
      <c r="E78" t="s">
        <v>4</v>
      </c>
      <c r="G78" t="s">
        <v>569</v>
      </c>
      <c r="I78" s="2" t="str">
        <f>CONCATENATE(B78," ",IF(ISBLANK(H78),D78,H78)," ", ",")</f>
        <v>member_altid5 VARCHAR(30) ,</v>
      </c>
    </row>
    <row r="79" spans="2:9" x14ac:dyDescent="0.25">
      <c r="B79" t="s">
        <v>92</v>
      </c>
      <c r="C79" s="2" t="s">
        <v>802</v>
      </c>
      <c r="D79" t="s">
        <v>85</v>
      </c>
      <c r="E79" t="s">
        <v>4</v>
      </c>
      <c r="G79" t="s">
        <v>569</v>
      </c>
      <c r="I79" s="2" t="str">
        <f>CONCATENATE(B79," ",IF(ISBLANK(H79),D79,H79)," ", ",")</f>
        <v>member_altid6 VARCHAR(30) ,</v>
      </c>
    </row>
    <row r="80" spans="2:9" x14ac:dyDescent="0.25">
      <c r="B80" t="s">
        <v>93</v>
      </c>
      <c r="C80" s="2" t="s">
        <v>1076</v>
      </c>
      <c r="D80" t="s">
        <v>1</v>
      </c>
      <c r="E80" t="s">
        <v>4</v>
      </c>
      <c r="G80" t="s">
        <v>605</v>
      </c>
      <c r="H80" t="s">
        <v>723</v>
      </c>
      <c r="I80" s="2" t="str">
        <f>CONCATENATE(B80," ",IF(ISBLANK(H80),D80,H80)," ", ",")</f>
        <v>race CHAR(2) ,</v>
      </c>
    </row>
    <row r="81" spans="2:9" x14ac:dyDescent="0.25">
      <c r="B81" t="s">
        <v>94</v>
      </c>
      <c r="C81" s="2" t="s">
        <v>1077</v>
      </c>
      <c r="D81" t="s">
        <v>3</v>
      </c>
      <c r="E81" t="s">
        <v>4</v>
      </c>
      <c r="G81" t="s">
        <v>606</v>
      </c>
      <c r="H81" t="s">
        <v>722</v>
      </c>
      <c r="I81" s="2" t="str">
        <f>CONCATENATE(B81," ",IF(ISBLANK(H81),D81,H81)," ", ",")</f>
        <v>race_source CHAR(1) ,</v>
      </c>
    </row>
    <row r="82" spans="2:9" x14ac:dyDescent="0.25">
      <c r="B82" t="s">
        <v>95</v>
      </c>
      <c r="C82" s="2" t="s">
        <v>1078</v>
      </c>
      <c r="D82" t="s">
        <v>1</v>
      </c>
      <c r="E82" t="s">
        <v>4</v>
      </c>
      <c r="G82" t="s">
        <v>607</v>
      </c>
      <c r="H82" t="s">
        <v>723</v>
      </c>
      <c r="I82" s="2" t="str">
        <f>CONCATENATE(B82," ",IF(ISBLANK(H82),D82,H82)," ", ",")</f>
        <v>ethnicity CHAR(2) ,</v>
      </c>
    </row>
    <row r="83" spans="2:9" x14ac:dyDescent="0.25">
      <c r="B83" t="s">
        <v>96</v>
      </c>
      <c r="C83" s="2" t="s">
        <v>1079</v>
      </c>
      <c r="D83" t="s">
        <v>3</v>
      </c>
      <c r="E83" t="s">
        <v>4</v>
      </c>
      <c r="G83" t="s">
        <v>606</v>
      </c>
      <c r="H83" t="s">
        <v>722</v>
      </c>
      <c r="I83" s="2" t="str">
        <f>CONCATENATE(B83," ",IF(ISBLANK(H83),D83,H83)," ", ",")</f>
        <v>ethnicity_source CHAR(1) ,</v>
      </c>
    </row>
    <row r="84" spans="2:9" x14ac:dyDescent="0.25">
      <c r="B84" t="s">
        <v>97</v>
      </c>
      <c r="C84" s="2" t="s">
        <v>1080</v>
      </c>
      <c r="D84" t="s">
        <v>3</v>
      </c>
      <c r="E84" t="s">
        <v>4</v>
      </c>
      <c r="G84" t="s">
        <v>608</v>
      </c>
      <c r="H84" t="s">
        <v>722</v>
      </c>
      <c r="I84" s="2" t="str">
        <f>CONCATENATE(B84," ",IF(ISBLANK(H84),D84,H84)," ", ",")</f>
        <v>language_spoken CHAR(1) ,</v>
      </c>
    </row>
    <row r="85" spans="2:9" x14ac:dyDescent="0.25">
      <c r="B85" t="s">
        <v>98</v>
      </c>
      <c r="C85" s="2" t="s">
        <v>1081</v>
      </c>
      <c r="D85" t="s">
        <v>3</v>
      </c>
      <c r="E85" t="s">
        <v>4</v>
      </c>
      <c r="G85" t="s">
        <v>609</v>
      </c>
      <c r="H85" t="s">
        <v>722</v>
      </c>
      <c r="I85" s="2" t="str">
        <f>CONCATENATE(B85," ",IF(ISBLANK(H85),D85,H85)," ", ",")</f>
        <v>language_spoken_source CHAR(1) ,</v>
      </c>
    </row>
    <row r="86" spans="2:9" x14ac:dyDescent="0.25">
      <c r="B86" t="s">
        <v>99</v>
      </c>
      <c r="C86" s="2" t="s">
        <v>1082</v>
      </c>
      <c r="D86" t="s">
        <v>3</v>
      </c>
      <c r="E86" t="s">
        <v>4</v>
      </c>
      <c r="G86" t="s">
        <v>610</v>
      </c>
      <c r="H86" t="s">
        <v>722</v>
      </c>
      <c r="I86" s="2" t="str">
        <f>CONCATENATE(B86," ",IF(ISBLANK(H86),D86,H86)," ", ",")</f>
        <v>language_written CHAR(1) ,</v>
      </c>
    </row>
    <row r="87" spans="2:9" x14ac:dyDescent="0.25">
      <c r="B87" t="s">
        <v>100</v>
      </c>
      <c r="C87" s="2" t="s">
        <v>1083</v>
      </c>
      <c r="D87" t="s">
        <v>3</v>
      </c>
      <c r="E87" t="s">
        <v>4</v>
      </c>
      <c r="G87" t="s">
        <v>611</v>
      </c>
      <c r="H87" t="s">
        <v>722</v>
      </c>
      <c r="I87" s="2" t="str">
        <f>CONCATENATE(B87," ",IF(ISBLANK(H87),D87,H87)," ", ",")</f>
        <v>language_written_source CHAR(1) ,</v>
      </c>
    </row>
    <row r="88" spans="2:9" x14ac:dyDescent="0.25">
      <c r="B88" t="s">
        <v>101</v>
      </c>
      <c r="C88" s="2" t="s">
        <v>1084</v>
      </c>
      <c r="D88" t="s">
        <v>3</v>
      </c>
      <c r="E88" t="s">
        <v>4</v>
      </c>
      <c r="G88" t="s">
        <v>610</v>
      </c>
      <c r="H88" t="s">
        <v>722</v>
      </c>
      <c r="I88" s="2" t="str">
        <f>CONCATENATE(B88," ",IF(ISBLANK(H88),D88,H88)," ", ",")</f>
        <v>language_other CHAR(1) ,</v>
      </c>
    </row>
    <row r="89" spans="2:9" x14ac:dyDescent="0.25">
      <c r="B89" t="s">
        <v>102</v>
      </c>
      <c r="C89" s="2" t="s">
        <v>1085</v>
      </c>
      <c r="D89" t="s">
        <v>3</v>
      </c>
      <c r="E89" t="s">
        <v>4</v>
      </c>
      <c r="G89" t="s">
        <v>611</v>
      </c>
      <c r="H89" t="s">
        <v>722</v>
      </c>
      <c r="I89" s="2" t="str">
        <f>CONCATENATE(B89," ",IF(ISBLANK(H89),D89,H89)," ", ",")</f>
        <v>language_other_source CHAR(1) ,</v>
      </c>
    </row>
    <row r="90" spans="2:9" x14ac:dyDescent="0.25">
      <c r="B90" t="s">
        <v>103</v>
      </c>
      <c r="C90" s="2" t="s">
        <v>1086</v>
      </c>
      <c r="D90" t="s">
        <v>8</v>
      </c>
      <c r="E90" t="s">
        <v>4</v>
      </c>
      <c r="G90" t="s">
        <v>612</v>
      </c>
      <c r="I90" s="2" t="str">
        <f>CONCATENATE(B90," ",IF(ISBLANK(H90),D90,H90)," ", ",")</f>
        <v>provider_addressline1 VARCHAR(100) ,</v>
      </c>
    </row>
    <row r="91" spans="2:9" x14ac:dyDescent="0.25">
      <c r="B91" t="s">
        <v>104</v>
      </c>
      <c r="C91" s="2" t="s">
        <v>1087</v>
      </c>
      <c r="D91" t="s">
        <v>8</v>
      </c>
      <c r="E91" t="s">
        <v>4</v>
      </c>
      <c r="G91" t="s">
        <v>613</v>
      </c>
      <c r="I91" s="2" t="str">
        <f>CONCATENATE(B91," ",IF(ISBLANK(H91),D91,H91)," ", ",")</f>
        <v>provider_addressline2 VARCHAR(100) ,</v>
      </c>
    </row>
    <row r="92" spans="2:9" x14ac:dyDescent="0.25">
      <c r="B92" t="s">
        <v>105</v>
      </c>
      <c r="C92" s="2" t="s">
        <v>1088</v>
      </c>
      <c r="D92" t="s">
        <v>106</v>
      </c>
      <c r="E92" t="s">
        <v>4</v>
      </c>
      <c r="G92" t="s">
        <v>614</v>
      </c>
      <c r="I92" s="2" t="str">
        <f>CONCATENATE(B92," ",IF(ISBLANK(H92),D92,H92)," ", ",")</f>
        <v>provider_city VARCHAR(21) ,</v>
      </c>
    </row>
    <row r="93" spans="2:9" x14ac:dyDescent="0.25">
      <c r="B93" t="s">
        <v>107</v>
      </c>
      <c r="C93" s="2" t="s">
        <v>1089</v>
      </c>
      <c r="D93" t="s">
        <v>1</v>
      </c>
      <c r="E93" t="s">
        <v>4</v>
      </c>
      <c r="G93" t="s">
        <v>615</v>
      </c>
      <c r="H93" t="s">
        <v>723</v>
      </c>
      <c r="I93" s="2" t="str">
        <f>CONCATENATE(B93," ",IF(ISBLANK(H93),D93,H93)," ", ",")</f>
        <v>provider_statecode CHAR(2) ,</v>
      </c>
    </row>
    <row r="94" spans="2:9" x14ac:dyDescent="0.25">
      <c r="B94" t="s">
        <v>108</v>
      </c>
      <c r="C94" s="2" t="s">
        <v>1090</v>
      </c>
      <c r="D94" t="s">
        <v>83</v>
      </c>
      <c r="E94" t="s">
        <v>4</v>
      </c>
      <c r="G94" t="s">
        <v>616</v>
      </c>
      <c r="I94" s="2" t="str">
        <f>CONCATENATE(B94," ",IF(ISBLANK(H94),D94,H94)," ", ",")</f>
        <v>provider_zip VARCHAR(9) ,</v>
      </c>
    </row>
    <row r="95" spans="2:9" x14ac:dyDescent="0.25">
      <c r="B95" t="s">
        <v>109</v>
      </c>
      <c r="C95" s="2" t="s">
        <v>1091</v>
      </c>
      <c r="D95" t="s">
        <v>30</v>
      </c>
      <c r="E95" t="s">
        <v>4</v>
      </c>
      <c r="G95" t="s">
        <v>617</v>
      </c>
      <c r="I95" s="2" t="str">
        <f>CONCATENATE(B95," ",IF(ISBLANK(H95),D95,H95)," ", ",")</f>
        <v>provider_phonenumber1 VARCHAR(13) ,</v>
      </c>
    </row>
    <row r="96" spans="2:9" x14ac:dyDescent="0.25">
      <c r="B96" t="s">
        <v>110</v>
      </c>
      <c r="C96" s="2" t="s">
        <v>1092</v>
      </c>
      <c r="D96" t="s">
        <v>12</v>
      </c>
      <c r="E96" t="s">
        <v>4</v>
      </c>
      <c r="G96" t="s">
        <v>569</v>
      </c>
      <c r="I96" s="2" t="str">
        <f>CONCATENATE(B96," ",IF(ISBLANK(H96),D96,H96)," ", ",")</f>
        <v>provider_phonenumber2 VARCHAR(10) ,</v>
      </c>
    </row>
    <row r="97" spans="1:9" x14ac:dyDescent="0.25">
      <c r="B97" t="s">
        <v>111</v>
      </c>
      <c r="C97" s="2" t="s">
        <v>1093</v>
      </c>
      <c r="D97" t="s">
        <v>30</v>
      </c>
      <c r="E97" t="s">
        <v>4</v>
      </c>
      <c r="G97" t="s">
        <v>618</v>
      </c>
      <c r="I97" s="2" t="str">
        <f>CONCATENATE(B97," ",IF(ISBLANK(H97),D97,H97)," ", ",")</f>
        <v>provider_faxnumber1 VARCHAR(13) ,</v>
      </c>
    </row>
    <row r="98" spans="1:9" x14ac:dyDescent="0.25">
      <c r="B98" t="s">
        <v>112</v>
      </c>
      <c r="C98" s="2" t="s">
        <v>803</v>
      </c>
      <c r="D98" t="s">
        <v>12</v>
      </c>
      <c r="E98" t="s">
        <v>4</v>
      </c>
      <c r="G98" t="s">
        <v>569</v>
      </c>
      <c r="I98" s="2" t="str">
        <f>CONCATENATE(B98," ",IF(ISBLANK(H98),D98,H98)," ", ",")</f>
        <v>provider_alt_id1 VARCHAR(10) ,</v>
      </c>
    </row>
    <row r="99" spans="1:9" x14ac:dyDescent="0.25">
      <c r="B99" t="s">
        <v>113</v>
      </c>
      <c r="C99" s="2" t="s">
        <v>804</v>
      </c>
      <c r="D99" t="s">
        <v>30</v>
      </c>
      <c r="E99" t="s">
        <v>4</v>
      </c>
      <c r="G99" t="s">
        <v>619</v>
      </c>
      <c r="I99" s="2" t="str">
        <f>CONCATENATE(B99," ",IF(ISBLANK(H99),D99,H99)," ", ",")</f>
        <v>provider_alt_id2 VARCHAR(13) ,</v>
      </c>
    </row>
    <row r="100" spans="1:9" x14ac:dyDescent="0.25">
      <c r="B100" t="s">
        <v>114</v>
      </c>
      <c r="C100" s="2" t="s">
        <v>805</v>
      </c>
      <c r="D100" t="s">
        <v>83</v>
      </c>
      <c r="E100" t="s">
        <v>4</v>
      </c>
      <c r="G100" t="s">
        <v>620</v>
      </c>
      <c r="I100" s="2" t="str">
        <f>CONCATENATE(B100," ",IF(ISBLANK(H100),D100,H100)," ", ",")</f>
        <v>provider_alt_id3 VARCHAR(9) ,</v>
      </c>
    </row>
    <row r="101" spans="1:9" x14ac:dyDescent="0.25">
      <c r="B101" t="s">
        <v>115</v>
      </c>
      <c r="C101" s="2" t="s">
        <v>806</v>
      </c>
      <c r="D101" t="s">
        <v>116</v>
      </c>
      <c r="E101" t="s">
        <v>4</v>
      </c>
      <c r="G101" t="s">
        <v>621</v>
      </c>
      <c r="I101" s="2" t="str">
        <f>CONCATENATE(B101," ",IF(ISBLANK(H101),D101,H101)," ", ",")</f>
        <v>provider_alt_id4 VARCHAR(3) ,</v>
      </c>
    </row>
    <row r="102" spans="1:9" x14ac:dyDescent="0.25">
      <c r="B102" t="s">
        <v>117</v>
      </c>
      <c r="C102" s="2" t="s">
        <v>807</v>
      </c>
      <c r="D102" t="s">
        <v>12</v>
      </c>
      <c r="E102" t="s">
        <v>4</v>
      </c>
      <c r="G102" t="s">
        <v>622</v>
      </c>
      <c r="I102" s="2" t="str">
        <f>CONCATENATE(B102," ",IF(ISBLANK(H102),D102,H102)," ", ",")</f>
        <v>provider_alt_id5 VARCHAR(10) ,</v>
      </c>
    </row>
    <row r="103" spans="1:9" x14ac:dyDescent="0.25">
      <c r="B103" t="s">
        <v>118</v>
      </c>
      <c r="C103" s="2" t="s">
        <v>808</v>
      </c>
      <c r="D103" t="s">
        <v>12</v>
      </c>
      <c r="E103" t="s">
        <v>4</v>
      </c>
      <c r="G103" t="s">
        <v>569</v>
      </c>
      <c r="I103" s="2" t="str">
        <f>CONCATENATE(B103," ",IF(ISBLANK(H103),D103,H103)," ", ",")</f>
        <v>provider_alt_id6 VARCHAR(10) ,</v>
      </c>
    </row>
    <row r="104" spans="1:9" x14ac:dyDescent="0.25">
      <c r="B104" t="s">
        <v>119</v>
      </c>
      <c r="C104" s="2" t="s">
        <v>809</v>
      </c>
      <c r="D104" t="s">
        <v>12</v>
      </c>
      <c r="E104" t="s">
        <v>4</v>
      </c>
      <c r="G104" t="s">
        <v>569</v>
      </c>
      <c r="I104" s="2" t="str">
        <f>CONCATENATE(B104," ",IF(ISBLANK(H104),D104,H104)," ", ",")</f>
        <v>provider_alt_id7 VARCHAR(10) ,</v>
      </c>
    </row>
    <row r="105" spans="1:9" x14ac:dyDescent="0.25">
      <c r="B105" t="s">
        <v>120</v>
      </c>
      <c r="C105" s="2" t="s">
        <v>810</v>
      </c>
      <c r="D105" t="s">
        <v>12</v>
      </c>
      <c r="E105" t="s">
        <v>4</v>
      </c>
      <c r="G105" t="s">
        <v>569</v>
      </c>
      <c r="I105" s="2" t="str">
        <f>CONCATENATE(B105," ",IF(ISBLANK(H105),D105,H105)," ", ",")</f>
        <v>provider_alt_id8 VARCHAR(10) ,</v>
      </c>
    </row>
    <row r="106" spans="1:9" x14ac:dyDescent="0.25">
      <c r="B106" t="s">
        <v>121</v>
      </c>
      <c r="C106" s="2" t="s">
        <v>1094</v>
      </c>
      <c r="D106" t="s">
        <v>12</v>
      </c>
      <c r="E106" t="s">
        <v>4</v>
      </c>
      <c r="G106" t="s">
        <v>569</v>
      </c>
      <c r="I106" s="2" t="str">
        <f>CONCATENATE(B106," ",IF(ISBLANK(H106),D106,H106)," ", ",")</f>
        <v>facility_code VARCHAR(10) ,</v>
      </c>
    </row>
    <row r="107" spans="1:9" x14ac:dyDescent="0.25">
      <c r="B107" t="s">
        <v>122</v>
      </c>
      <c r="D107" t="s">
        <v>123</v>
      </c>
      <c r="E107" t="s">
        <v>4</v>
      </c>
      <c r="G107" t="s">
        <v>623</v>
      </c>
      <c r="I107" s="2" t="str">
        <f>CONCATENATE(B107," ",IF(ISBLANK(H107),D107,H107)," ", ",")</f>
        <v>plan_code VARCHAR(16) ,</v>
      </c>
    </row>
    <row r="108" spans="1:9" x14ac:dyDescent="0.25">
      <c r="B108" t="s">
        <v>124</v>
      </c>
      <c r="D108" t="s">
        <v>732</v>
      </c>
      <c r="E108" t="s">
        <v>4</v>
      </c>
      <c r="G108" t="s">
        <v>624</v>
      </c>
      <c r="H108" t="s">
        <v>732</v>
      </c>
      <c r="I108" s="2" t="str">
        <f>CONCATENATE(B108," ",IF(ISBLANK(H108),D108,H108)," ", ",")</f>
        <v>member_group_code VARCHAR(20) ,</v>
      </c>
    </row>
    <row r="109" spans="1:9" x14ac:dyDescent="0.25">
      <c r="A109" t="s">
        <v>563</v>
      </c>
      <c r="B109" t="s">
        <v>125</v>
      </c>
      <c r="C109" s="2" t="s">
        <v>811</v>
      </c>
      <c r="D109" t="s">
        <v>12</v>
      </c>
      <c r="I109" s="2" t="str">
        <f>CONCATENATE(B109," ",IF(ISBLANK(H109),D109,H109)," ", ",")</f>
        <v>MEASURE_KEY VARCHAR(10) ,</v>
      </c>
    </row>
    <row r="110" spans="1:9" x14ac:dyDescent="0.25">
      <c r="A110" t="s">
        <v>563</v>
      </c>
      <c r="B110" t="s">
        <v>126</v>
      </c>
      <c r="D110" t="s">
        <v>127</v>
      </c>
      <c r="G110" t="s">
        <v>625</v>
      </c>
      <c r="H110" s="2" t="s">
        <v>736</v>
      </c>
      <c r="I110" s="2" t="str">
        <f>CONCATENATE(B110," ",IF(ISBLANK(H110),D110,H110)," ", ",")</f>
        <v>LOAD_DT DATE  FORMAT 'YYYY-MM-DD' ,</v>
      </c>
    </row>
    <row r="111" spans="1:9" x14ac:dyDescent="0.25">
      <c r="B111" t="s">
        <v>128</v>
      </c>
      <c r="D111" t="s">
        <v>3</v>
      </c>
      <c r="E111" t="s">
        <v>4</v>
      </c>
      <c r="G111" t="s">
        <v>626</v>
      </c>
      <c r="H111" t="s">
        <v>722</v>
      </c>
      <c r="I111" s="2" t="str">
        <f>CONCATENATE(B111," ",IF(ISBLANK(H111),D111,H111)," ", ",")</f>
        <v>NOW_IND CHAR(1) ,</v>
      </c>
    </row>
    <row r="112" spans="1:9" x14ac:dyDescent="0.25">
      <c r="B112" t="s">
        <v>129</v>
      </c>
      <c r="C112" s="2" t="s">
        <v>947</v>
      </c>
      <c r="D112" t="s">
        <v>1</v>
      </c>
      <c r="E112" t="s">
        <v>4</v>
      </c>
      <c r="G112" t="s">
        <v>627</v>
      </c>
      <c r="H112" t="s">
        <v>722</v>
      </c>
      <c r="I112" s="2" t="str">
        <f>CONCATENATE(B112," ",IF(ISBLANK(H112),D112,H112)," ", ",")</f>
        <v>popval CHAR(1) ,</v>
      </c>
    </row>
    <row r="113" spans="2:9" x14ac:dyDescent="0.25">
      <c r="B113" t="s">
        <v>130</v>
      </c>
      <c r="D113" t="s">
        <v>15</v>
      </c>
      <c r="E113" t="s">
        <v>4</v>
      </c>
      <c r="G113" t="s">
        <v>572</v>
      </c>
      <c r="H113" t="s">
        <v>721</v>
      </c>
      <c r="I113" s="2" t="str">
        <f>CONCATENATE(B113," ",IF(ISBLANK(H113),D113,H113)," ", ",")</f>
        <v>svcdt TIMESTAMP ,</v>
      </c>
    </row>
    <row r="114" spans="2:9" x14ac:dyDescent="0.25">
      <c r="B114" t="s">
        <v>131</v>
      </c>
      <c r="C114" s="2" t="s">
        <v>813</v>
      </c>
      <c r="D114" t="s">
        <v>3</v>
      </c>
      <c r="E114" t="s">
        <v>4</v>
      </c>
      <c r="G114" t="s">
        <v>573</v>
      </c>
      <c r="H114" t="s">
        <v>722</v>
      </c>
      <c r="I114" s="2" t="str">
        <f>CONCATENATE(B114," ",IF(ISBLANK(H114),D114,H114)," ", ",")</f>
        <v>adcntflg CHAR(1) ,</v>
      </c>
    </row>
    <row r="115" spans="2:9" x14ac:dyDescent="0.25">
      <c r="B115" t="s">
        <v>132</v>
      </c>
      <c r="C115" s="2" t="s">
        <v>819</v>
      </c>
      <c r="D115" t="s">
        <v>3</v>
      </c>
      <c r="E115" t="s">
        <v>4</v>
      </c>
      <c r="G115" t="s">
        <v>573</v>
      </c>
      <c r="H115" t="s">
        <v>722</v>
      </c>
      <c r="I115" s="2" t="str">
        <f>CONCATENATE(B115," ",IF(ISBLANK(H115),D115,H115)," ", ",")</f>
        <v>adnumflg CHAR(1) ,</v>
      </c>
    </row>
    <row r="116" spans="2:9" x14ac:dyDescent="0.25">
      <c r="B116" t="s">
        <v>133</v>
      </c>
      <c r="C116" s="2" t="s">
        <v>839</v>
      </c>
      <c r="D116" t="s">
        <v>3</v>
      </c>
      <c r="E116" t="s">
        <v>4</v>
      </c>
      <c r="G116" t="s">
        <v>573</v>
      </c>
      <c r="H116" t="s">
        <v>722</v>
      </c>
      <c r="I116" s="2" t="str">
        <f>CONCATENATE(B116," ",IF(ISBLANK(H116),D116,H116)," ", ",")</f>
        <v>contrflg CHAR(1) ,</v>
      </c>
    </row>
    <row r="117" spans="2:9" x14ac:dyDescent="0.25">
      <c r="B117" t="s">
        <v>134</v>
      </c>
      <c r="C117" s="2" t="s">
        <v>873</v>
      </c>
      <c r="D117" t="s">
        <v>3</v>
      </c>
      <c r="E117" t="s">
        <v>4</v>
      </c>
      <c r="G117" t="s">
        <v>574</v>
      </c>
      <c r="H117" t="s">
        <v>722</v>
      </c>
      <c r="I117" s="2" t="str">
        <f>CONCATENATE(B117," ",IF(ISBLANK(H117),D117,H117)," ", ",")</f>
        <v>feflg CHAR(1) ,</v>
      </c>
    </row>
    <row r="118" spans="2:9" x14ac:dyDescent="0.25">
      <c r="B118" t="s">
        <v>135</v>
      </c>
      <c r="C118" s="2" t="s">
        <v>926</v>
      </c>
      <c r="D118" t="s">
        <v>3</v>
      </c>
      <c r="E118" t="s">
        <v>4</v>
      </c>
      <c r="G118" t="s">
        <v>574</v>
      </c>
      <c r="H118" t="s">
        <v>722</v>
      </c>
      <c r="I118" s="2" t="str">
        <f>CONCATENATE(B118," ",IF(ISBLANK(H118),D118,H118)," ", ",")</f>
        <v>mrcntflg CHAR(1) ,</v>
      </c>
    </row>
    <row r="119" spans="2:9" x14ac:dyDescent="0.25">
      <c r="B119" t="s">
        <v>136</v>
      </c>
      <c r="D119" t="s">
        <v>3</v>
      </c>
      <c r="E119" t="s">
        <v>4</v>
      </c>
      <c r="G119" t="s">
        <v>628</v>
      </c>
      <c r="H119" t="s">
        <v>722</v>
      </c>
      <c r="I119" s="2" t="str">
        <f>CONCATENATE(B119," ",IF(ISBLANK(H119),D119,H119)," ", ",")</f>
        <v>mrexclind CHAR(1) ,</v>
      </c>
    </row>
    <row r="120" spans="2:9" x14ac:dyDescent="0.25">
      <c r="B120" t="s">
        <v>137</v>
      </c>
      <c r="C120" s="2" t="s">
        <v>930</v>
      </c>
      <c r="D120" t="s">
        <v>3</v>
      </c>
      <c r="E120" t="s">
        <v>4</v>
      </c>
      <c r="G120" t="s">
        <v>574</v>
      </c>
      <c r="H120" t="s">
        <v>722</v>
      </c>
      <c r="I120" s="2" t="str">
        <f>CONCATENATE(B120," ",IF(ISBLANK(H120),D120,H120)," ", ",")</f>
        <v>mrnumflg CHAR(1) ,</v>
      </c>
    </row>
    <row r="121" spans="2:9" x14ac:dyDescent="0.25">
      <c r="B121" t="s">
        <v>138</v>
      </c>
      <c r="C121" s="2" t="s">
        <v>1023</v>
      </c>
      <c r="D121" t="s">
        <v>3</v>
      </c>
      <c r="E121" t="s">
        <v>4</v>
      </c>
      <c r="G121" t="s">
        <v>574</v>
      </c>
      <c r="H121" t="s">
        <v>722</v>
      </c>
      <c r="I121" s="2" t="str">
        <f>CONCATENATE(B121," ",IF(ISBLANK(H121),D121,H121)," ", ",")</f>
        <v>suppcontra CHAR(1) ,</v>
      </c>
    </row>
    <row r="122" spans="2:9" x14ac:dyDescent="0.25">
      <c r="B122" t="s">
        <v>139</v>
      </c>
      <c r="C122" s="2" t="s">
        <v>814</v>
      </c>
      <c r="D122" t="s">
        <v>3</v>
      </c>
      <c r="E122" t="s">
        <v>4</v>
      </c>
      <c r="G122" t="s">
        <v>575</v>
      </c>
      <c r="H122" t="s">
        <v>722</v>
      </c>
      <c r="I122" s="2" t="str">
        <f>CONCATENATE(B122," ",IF(ISBLANK(H122),D122,H122)," ", ",")</f>
        <v>adctrcnt CHAR(1) ,</v>
      </c>
    </row>
    <row r="123" spans="2:9" x14ac:dyDescent="0.25">
      <c r="B123" t="s">
        <v>140</v>
      </c>
      <c r="C123" s="2" t="s">
        <v>818</v>
      </c>
      <c r="D123" t="s">
        <v>3</v>
      </c>
      <c r="E123" t="s">
        <v>4</v>
      </c>
      <c r="G123" t="s">
        <v>577</v>
      </c>
      <c r="H123" t="s">
        <v>722</v>
      </c>
      <c r="I123" s="2" t="str">
        <f>CONCATENATE(B123," ",IF(ISBLANK(H123),D123,H123)," ", ",")</f>
        <v>adnumcnt CHAR(1) ,</v>
      </c>
    </row>
    <row r="124" spans="2:9" x14ac:dyDescent="0.25">
      <c r="B124" t="s">
        <v>141</v>
      </c>
      <c r="C124" s="2" t="s">
        <v>838</v>
      </c>
      <c r="D124" t="s">
        <v>3</v>
      </c>
      <c r="E124" t="s">
        <v>4</v>
      </c>
      <c r="G124" t="s">
        <v>575</v>
      </c>
      <c r="H124" t="s">
        <v>722</v>
      </c>
      <c r="I124" s="2" t="str">
        <f>CONCATENATE(B124," ",IF(ISBLANK(H124),D124,H124)," ", ",")</f>
        <v>contrcnt CHAR(1) ,</v>
      </c>
    </row>
    <row r="125" spans="2:9" x14ac:dyDescent="0.25">
      <c r="B125" t="s">
        <v>142</v>
      </c>
      <c r="C125" s="2" t="s">
        <v>927</v>
      </c>
      <c r="D125" t="s">
        <v>3</v>
      </c>
      <c r="E125" t="s">
        <v>4</v>
      </c>
      <c r="G125" t="s">
        <v>575</v>
      </c>
      <c r="H125" t="s">
        <v>722</v>
      </c>
      <c r="I125" s="2" t="str">
        <f>CONCATENATE(B125," ",IF(ISBLANK(H125),D125,H125)," ", ",")</f>
        <v>mrctrcnt CHAR(1) ,</v>
      </c>
    </row>
    <row r="126" spans="2:9" x14ac:dyDescent="0.25">
      <c r="B126" t="s">
        <v>143</v>
      </c>
      <c r="C126" s="2" t="s">
        <v>929</v>
      </c>
      <c r="D126" t="s">
        <v>3</v>
      </c>
      <c r="E126" t="s">
        <v>4</v>
      </c>
      <c r="G126" t="s">
        <v>575</v>
      </c>
      <c r="H126" t="s">
        <v>722</v>
      </c>
      <c r="I126" s="2" t="str">
        <f>CONCATENATE(B126," ",IF(ISBLANK(H126),D126,H126)," ", ",")</f>
        <v>mrnumcnt CHAR(1) ,</v>
      </c>
    </row>
    <row r="127" spans="2:9" x14ac:dyDescent="0.25">
      <c r="B127" t="s">
        <v>144</v>
      </c>
      <c r="C127" s="2" t="s">
        <v>820</v>
      </c>
      <c r="D127" t="s">
        <v>116</v>
      </c>
      <c r="E127" t="s">
        <v>4</v>
      </c>
      <c r="G127" t="s">
        <v>629</v>
      </c>
      <c r="H127" t="s">
        <v>718</v>
      </c>
      <c r="I127" s="2" t="str">
        <f>CONCATENATE(B127," ",IF(ISBLANK(H127),D127,H127)," ", ",")</f>
        <v>age SMALLINT ,</v>
      </c>
    </row>
    <row r="128" spans="2:9" x14ac:dyDescent="0.25">
      <c r="B128" t="s">
        <v>145</v>
      </c>
      <c r="C128" s="2" t="s">
        <v>822</v>
      </c>
      <c r="D128" t="s">
        <v>3</v>
      </c>
      <c r="E128" t="s">
        <v>4</v>
      </c>
      <c r="G128" t="s">
        <v>575</v>
      </c>
      <c r="H128" t="s">
        <v>722</v>
      </c>
      <c r="I128" s="2" t="str">
        <f>CONCATENATE(B128," ",IF(ISBLANK(H128),D128,H128)," ", ",")</f>
        <v>amino CHAR(1) ,</v>
      </c>
    </row>
    <row r="129" spans="2:9" x14ac:dyDescent="0.25">
      <c r="B129" t="s">
        <v>146</v>
      </c>
      <c r="C129" s="2" t="s">
        <v>823</v>
      </c>
      <c r="D129" t="s">
        <v>3</v>
      </c>
      <c r="E129" t="s">
        <v>4</v>
      </c>
      <c r="G129" t="s">
        <v>577</v>
      </c>
      <c r="H129" t="s">
        <v>722</v>
      </c>
      <c r="I129" s="2" t="str">
        <f>CONCATENATE(B129," ",IF(ISBLANK(H129),D129,H129)," ", ",")</f>
        <v>amox CHAR(1) ,</v>
      </c>
    </row>
    <row r="130" spans="2:9" x14ac:dyDescent="0.25">
      <c r="B130" t="s">
        <v>147</v>
      </c>
      <c r="C130" s="2" t="s">
        <v>827</v>
      </c>
      <c r="D130" t="s">
        <v>3</v>
      </c>
      <c r="E130" t="s">
        <v>4</v>
      </c>
      <c r="G130" t="s">
        <v>577</v>
      </c>
      <c r="H130" t="s">
        <v>722</v>
      </c>
      <c r="I130" s="2" t="str">
        <f>CONCATENATE(B130," ",IF(ISBLANK(H130),D130,H130)," ", ",")</f>
        <v>azith CHAR(1) ,</v>
      </c>
    </row>
    <row r="131" spans="2:9" x14ac:dyDescent="0.25">
      <c r="B131" t="s">
        <v>148</v>
      </c>
      <c r="C131" s="2" t="s">
        <v>831</v>
      </c>
      <c r="D131" t="s">
        <v>3</v>
      </c>
      <c r="E131" t="s">
        <v>4</v>
      </c>
      <c r="G131" t="s">
        <v>575</v>
      </c>
      <c r="H131" t="s">
        <v>722</v>
      </c>
      <c r="I131" s="2" t="str">
        <f>CONCATENATE(B131," ",IF(ISBLANK(H131),D131,H131)," ", ",")</f>
        <v>ceph1 CHAR(1) ,</v>
      </c>
    </row>
    <row r="132" spans="2:9" x14ac:dyDescent="0.25">
      <c r="B132" t="s">
        <v>149</v>
      </c>
      <c r="C132" s="2" t="s">
        <v>832</v>
      </c>
      <c r="D132" t="s">
        <v>3</v>
      </c>
      <c r="E132" t="s">
        <v>4</v>
      </c>
      <c r="G132" t="s">
        <v>575</v>
      </c>
      <c r="H132" t="s">
        <v>722</v>
      </c>
      <c r="I132" s="2" t="str">
        <f>CONCATENATE(B132," ",IF(ISBLANK(H132),D132,H132)," ", ",")</f>
        <v>ceph2 CHAR(1) ,</v>
      </c>
    </row>
    <row r="133" spans="2:9" x14ac:dyDescent="0.25">
      <c r="B133" t="s">
        <v>150</v>
      </c>
      <c r="C133" s="2" t="s">
        <v>833</v>
      </c>
      <c r="D133" t="s">
        <v>3</v>
      </c>
      <c r="E133" t="s">
        <v>4</v>
      </c>
      <c r="G133" t="s">
        <v>575</v>
      </c>
      <c r="H133" t="s">
        <v>722</v>
      </c>
      <c r="I133" s="2" t="str">
        <f>CONCATENATE(B133," ",IF(ISBLANK(H133),D133,H133)," ", ",")</f>
        <v>clinda CHAR(1) ,</v>
      </c>
    </row>
    <row r="134" spans="2:9" x14ac:dyDescent="0.25">
      <c r="B134" t="s">
        <v>151</v>
      </c>
      <c r="C134" s="2" t="s">
        <v>836</v>
      </c>
      <c r="D134" t="s">
        <v>3</v>
      </c>
      <c r="E134" t="s">
        <v>4</v>
      </c>
      <c r="G134" t="s">
        <v>577</v>
      </c>
      <c r="H134" t="s">
        <v>722</v>
      </c>
      <c r="I134" s="2" t="str">
        <f>CONCATENATE(B134," ",IF(ISBLANK(H134),D134,H134)," ", ",")</f>
        <v>concern CHAR(1) ,</v>
      </c>
    </row>
    <row r="135" spans="2:9" x14ac:dyDescent="0.25">
      <c r="B135" t="s">
        <v>152</v>
      </c>
      <c r="C135" s="2" t="s">
        <v>902</v>
      </c>
      <c r="D135" t="s">
        <v>3</v>
      </c>
      <c r="E135" t="s">
        <v>4</v>
      </c>
      <c r="G135" t="s">
        <v>575</v>
      </c>
      <c r="H135" t="s">
        <v>722</v>
      </c>
      <c r="I135" s="2" t="str">
        <f>CONCATENATE(B135," ",IF(ISBLANK(H135),D135,H135)," ", ",")</f>
        <v>keto CHAR(1) ,</v>
      </c>
    </row>
    <row r="136" spans="2:9" x14ac:dyDescent="0.25">
      <c r="B136" t="s">
        <v>153</v>
      </c>
      <c r="C136" s="2" t="s">
        <v>909</v>
      </c>
      <c r="D136" t="s">
        <v>3</v>
      </c>
      <c r="E136" t="s">
        <v>4</v>
      </c>
      <c r="G136" t="s">
        <v>575</v>
      </c>
      <c r="H136" t="s">
        <v>722</v>
      </c>
      <c r="I136" s="2" t="str">
        <f>CONCATENATE(B136," ",IF(ISBLANK(H136),D136,H136)," ", ",")</f>
        <v>linco CHAR(1) ,</v>
      </c>
    </row>
    <row r="137" spans="2:9" x14ac:dyDescent="0.25">
      <c r="B137" t="s">
        <v>154</v>
      </c>
      <c r="D137" t="s">
        <v>3</v>
      </c>
      <c r="E137" t="s">
        <v>4</v>
      </c>
      <c r="G137" t="s">
        <v>575</v>
      </c>
      <c r="H137" t="s">
        <v>722</v>
      </c>
      <c r="I137" s="2" t="str">
        <f>CONCATENATE(B137," ",IF(ISBLANK(H137),D137,H137)," ", ",")</f>
        <v>macro_ CHAR(1) ,</v>
      </c>
    </row>
    <row r="138" spans="2:9" x14ac:dyDescent="0.25">
      <c r="B138" t="s">
        <v>155</v>
      </c>
      <c r="D138" t="s">
        <v>3</v>
      </c>
      <c r="E138" t="s">
        <v>4</v>
      </c>
      <c r="G138" t="s">
        <v>575</v>
      </c>
      <c r="H138" t="s">
        <v>722</v>
      </c>
      <c r="I138" s="2" t="str">
        <f>CONCATENATE(B138," ",IF(ISBLANK(H138),D138,H138)," ", ",")</f>
        <v>miscc CHAR(1) ,</v>
      </c>
    </row>
    <row r="139" spans="2:9" x14ac:dyDescent="0.25">
      <c r="B139" t="s">
        <v>156</v>
      </c>
      <c r="D139" t="s">
        <v>3</v>
      </c>
      <c r="E139" t="s">
        <v>4</v>
      </c>
      <c r="G139" t="s">
        <v>575</v>
      </c>
      <c r="H139" t="s">
        <v>722</v>
      </c>
      <c r="I139" s="2" t="str">
        <f>CONCATENATE(B139," ",IF(ISBLANK(H139),D139,H139)," ", ",")</f>
        <v>miscn CHAR(1) ,</v>
      </c>
    </row>
    <row r="140" spans="2:9" x14ac:dyDescent="0.25">
      <c r="B140" t="s">
        <v>157</v>
      </c>
      <c r="C140" s="2" t="s">
        <v>943</v>
      </c>
      <c r="D140" t="s">
        <v>3</v>
      </c>
      <c r="E140" t="s">
        <v>4</v>
      </c>
      <c r="G140" t="s">
        <v>577</v>
      </c>
      <c r="H140" t="s">
        <v>722</v>
      </c>
      <c r="I140" s="2" t="str">
        <f>CONCATENATE(B140," ",IF(ISBLANK(H140),D140,H140)," ", ",")</f>
        <v>penic CHAR(1) ,</v>
      </c>
    </row>
    <row r="141" spans="2:9" x14ac:dyDescent="0.25">
      <c r="B141" t="s">
        <v>158</v>
      </c>
      <c r="C141" s="2" t="s">
        <v>955</v>
      </c>
      <c r="D141" t="s">
        <v>3</v>
      </c>
      <c r="E141" t="s">
        <v>4</v>
      </c>
      <c r="G141" t="s">
        <v>575</v>
      </c>
      <c r="H141" t="s">
        <v>722</v>
      </c>
      <c r="I141" s="2" t="str">
        <f>CONCATENATE(B141," ",IF(ISBLANK(H141),D141,H141)," ", ",")</f>
        <v>quino CHAR(1) ,</v>
      </c>
    </row>
    <row r="142" spans="2:9" x14ac:dyDescent="0.25">
      <c r="B142" t="s">
        <v>159</v>
      </c>
      <c r="C142" s="2" t="s">
        <v>1021</v>
      </c>
      <c r="D142" t="s">
        <v>3</v>
      </c>
      <c r="E142" t="s">
        <v>4</v>
      </c>
      <c r="G142" t="s">
        <v>575</v>
      </c>
      <c r="H142" t="s">
        <v>722</v>
      </c>
      <c r="I142" s="2" t="str">
        <f>CONCATENATE(B142," ",IF(ISBLANK(H142),D142,H142)," ", ",")</f>
        <v>sulfo CHAR(1) ,</v>
      </c>
    </row>
    <row r="143" spans="2:9" x14ac:dyDescent="0.25">
      <c r="B143" t="s">
        <v>160</v>
      </c>
      <c r="C143" s="2" t="s">
        <v>1026</v>
      </c>
      <c r="D143" t="s">
        <v>1</v>
      </c>
      <c r="E143" t="s">
        <v>4</v>
      </c>
      <c r="G143" t="s">
        <v>630</v>
      </c>
      <c r="H143" t="s">
        <v>727</v>
      </c>
      <c r="I143" s="2" t="str">
        <f>CONCATENATE(B143," ",IF(ISBLANK(H143),D143,H143)," ", ",")</f>
        <v>supply BYTEINT ,</v>
      </c>
    </row>
    <row r="144" spans="2:9" x14ac:dyDescent="0.25">
      <c r="B144" t="s">
        <v>161</v>
      </c>
      <c r="C144" s="2" t="s">
        <v>1030</v>
      </c>
      <c r="D144" t="s">
        <v>3</v>
      </c>
      <c r="E144" t="s">
        <v>4</v>
      </c>
      <c r="G144" t="s">
        <v>575</v>
      </c>
      <c r="H144" t="s">
        <v>722</v>
      </c>
      <c r="I144" s="2" t="str">
        <f>CONCATENATE(B144," ",IF(ISBLANK(H144),D144,H144)," ", ",")</f>
        <v>tetra CHAR(1) ,</v>
      </c>
    </row>
    <row r="145" spans="2:9" x14ac:dyDescent="0.25">
      <c r="B145" t="s">
        <v>162</v>
      </c>
      <c r="C145" s="2" t="s">
        <v>1033</v>
      </c>
      <c r="D145" t="s">
        <v>3</v>
      </c>
      <c r="E145" t="s">
        <v>4</v>
      </c>
      <c r="G145" t="s">
        <v>577</v>
      </c>
      <c r="H145" t="s">
        <v>722</v>
      </c>
      <c r="I145" s="2" t="str">
        <f>CONCATENATE(B145," ",IF(ISBLANK(H145),D145,H145)," ", ",")</f>
        <v>total CHAR(1) ,</v>
      </c>
    </row>
    <row r="146" spans="2:9" x14ac:dyDescent="0.25">
      <c r="B146" t="s">
        <v>163</v>
      </c>
      <c r="C146" s="2" t="s">
        <v>837</v>
      </c>
      <c r="D146" t="s">
        <v>116</v>
      </c>
      <c r="E146" t="s">
        <v>4</v>
      </c>
      <c r="G146" t="s">
        <v>569</v>
      </c>
      <c r="H146" t="s">
        <v>718</v>
      </c>
      <c r="I146" s="2" t="str">
        <f>CONCATENATE(B146," ",IF(ISBLANK(H146),D146,H146)," ", ",")</f>
        <v>cont SMALLINT ,</v>
      </c>
    </row>
    <row r="147" spans="2:9" x14ac:dyDescent="0.25">
      <c r="B147" t="s">
        <v>164</v>
      </c>
      <c r="C147" s="2" t="s">
        <v>888</v>
      </c>
      <c r="D147" t="s">
        <v>15</v>
      </c>
      <c r="E147" t="s">
        <v>4</v>
      </c>
      <c r="G147" t="s">
        <v>569</v>
      </c>
      <c r="H147" t="s">
        <v>721</v>
      </c>
      <c r="I147" s="2" t="str">
        <f>CONCATENATE(B147," ",IF(ISBLANK(H147),D147,H147)," ", ",")</f>
        <v>indx TIMESTAMP ,</v>
      </c>
    </row>
    <row r="148" spans="2:9" x14ac:dyDescent="0.25">
      <c r="B148" t="s">
        <v>165</v>
      </c>
      <c r="C148" s="2" t="s">
        <v>895</v>
      </c>
      <c r="D148" t="s">
        <v>15</v>
      </c>
      <c r="E148" t="s">
        <v>4</v>
      </c>
      <c r="G148" t="s">
        <v>569</v>
      </c>
      <c r="H148" t="s">
        <v>721</v>
      </c>
      <c r="I148" s="2" t="str">
        <f>CONCATENATE(B148," ",IF(ISBLANK(H148),D148,H148)," ", ",")</f>
        <v>init TIMESTAMP ,</v>
      </c>
    </row>
    <row r="149" spans="2:9" x14ac:dyDescent="0.25">
      <c r="B149" t="s">
        <v>166</v>
      </c>
      <c r="C149" s="2" t="s">
        <v>944</v>
      </c>
      <c r="D149" t="s">
        <v>3</v>
      </c>
      <c r="E149" t="s">
        <v>4</v>
      </c>
      <c r="G149" t="s">
        <v>569</v>
      </c>
      <c r="H149" t="s">
        <v>722</v>
      </c>
      <c r="I149" s="2" t="str">
        <f>CONCATENATE(B149," ",IF(ISBLANK(H149),D149,H149)," ", ",")</f>
        <v>phone CHAR(1) ,</v>
      </c>
    </row>
    <row r="150" spans="2:9" x14ac:dyDescent="0.25">
      <c r="B150" t="s">
        <v>167</v>
      </c>
      <c r="C150" s="2" t="s">
        <v>977</v>
      </c>
      <c r="D150" t="s">
        <v>116</v>
      </c>
      <c r="E150" t="s">
        <v>4</v>
      </c>
      <c r="G150" t="s">
        <v>569</v>
      </c>
      <c r="H150" t="s">
        <v>718</v>
      </c>
      <c r="I150" s="2" t="str">
        <f>CONCATENATE(B150," ",IF(ISBLANK(H150),D150,H150)," ", ",")</f>
        <v>rxdays SMALLINT ,</v>
      </c>
    </row>
    <row r="151" spans="2:9" x14ac:dyDescent="0.25">
      <c r="B151" t="s">
        <v>168</v>
      </c>
      <c r="D151" t="s">
        <v>15</v>
      </c>
      <c r="E151" t="s">
        <v>4</v>
      </c>
      <c r="G151" t="s">
        <v>572</v>
      </c>
      <c r="H151" t="s">
        <v>721</v>
      </c>
      <c r="I151" s="2" t="str">
        <f>CONCATENATE(B151," ",IF(ISBLANK(H151),D151,H151)," ", ",")</f>
        <v>begin_ TIMESTAMP ,</v>
      </c>
    </row>
    <row r="152" spans="2:9" x14ac:dyDescent="0.25">
      <c r="B152" t="s">
        <v>169</v>
      </c>
      <c r="D152" t="s">
        <v>15</v>
      </c>
      <c r="E152" t="s">
        <v>4</v>
      </c>
      <c r="G152" t="s">
        <v>572</v>
      </c>
      <c r="H152" t="s">
        <v>721</v>
      </c>
      <c r="I152" s="2" t="str">
        <f>CONCATENATE(B152," ",IF(ISBLANK(H152),D152,H152)," ", ",")</f>
        <v>end_ TIMESTAMP ,</v>
      </c>
    </row>
    <row r="153" spans="2:9" x14ac:dyDescent="0.25">
      <c r="B153" t="s">
        <v>170</v>
      </c>
      <c r="D153" t="s">
        <v>3</v>
      </c>
      <c r="E153" t="s">
        <v>4</v>
      </c>
      <c r="G153" t="s">
        <v>574</v>
      </c>
      <c r="H153" t="s">
        <v>722</v>
      </c>
      <c r="I153" s="2" t="str">
        <f>CONCATENATE(B153," ",IF(ISBLANK(H153),D153,H153)," ", ",")</f>
        <v>new_ CHAR(1) ,</v>
      </c>
    </row>
    <row r="154" spans="2:9" x14ac:dyDescent="0.25">
      <c r="B154" t="s">
        <v>171</v>
      </c>
      <c r="C154" s="2" t="s">
        <v>1018</v>
      </c>
      <c r="D154" t="s">
        <v>3</v>
      </c>
      <c r="E154" t="s">
        <v>4</v>
      </c>
      <c r="G154" t="s">
        <v>577</v>
      </c>
      <c r="H154" t="s">
        <v>722</v>
      </c>
      <c r="I154" s="2" t="str">
        <f>CONCATENATE(B154," ",IF(ISBLANK(H154),D154,H154)," ", ",")</f>
        <v>srvc_ct CHAR(1) ,</v>
      </c>
    </row>
    <row r="155" spans="2:9" x14ac:dyDescent="0.25">
      <c r="B155" t="s">
        <v>172</v>
      </c>
      <c r="C155" s="2" t="s">
        <v>826</v>
      </c>
      <c r="D155" t="s">
        <v>15</v>
      </c>
      <c r="E155" t="s">
        <v>4</v>
      </c>
      <c r="G155" t="s">
        <v>572</v>
      </c>
      <c r="H155" t="s">
        <v>721</v>
      </c>
      <c r="I155" s="2" t="str">
        <f>CONCATENATE(B155," ",IF(ISBLANK(H155),D155,H155)," ", ",")</f>
        <v>atpedt TIMESTAMP ,</v>
      </c>
    </row>
    <row r="156" spans="2:9" x14ac:dyDescent="0.25">
      <c r="B156" t="s">
        <v>173</v>
      </c>
      <c r="C156" s="2" t="s">
        <v>842</v>
      </c>
      <c r="D156" t="s">
        <v>15</v>
      </c>
      <c r="E156" t="s">
        <v>4</v>
      </c>
      <c r="G156" t="s">
        <v>572</v>
      </c>
      <c r="H156" t="s">
        <v>721</v>
      </c>
      <c r="I156" s="2" t="str">
        <f>CONCATENATE(B156," ",IF(ISBLANK(H156),D156,H156)," ", ",")</f>
        <v>cpedt TIMESTAMP ,</v>
      </c>
    </row>
    <row r="157" spans="2:9" x14ac:dyDescent="0.25">
      <c r="B157" t="s">
        <v>174</v>
      </c>
      <c r="C157" s="2" t="s">
        <v>897</v>
      </c>
      <c r="D157" t="s">
        <v>15</v>
      </c>
      <c r="E157" t="s">
        <v>4</v>
      </c>
      <c r="G157" t="s">
        <v>631</v>
      </c>
      <c r="H157" t="s">
        <v>721</v>
      </c>
      <c r="I157" s="2" t="str">
        <f>CONCATENATE(B157," ",IF(ISBLANK(H157),D157,H157)," ", ",")</f>
        <v>ipbd TIMESTAMP ,</v>
      </c>
    </row>
    <row r="158" spans="2:9" x14ac:dyDescent="0.25">
      <c r="B158" t="s">
        <v>175</v>
      </c>
      <c r="C158" s="2" t="s">
        <v>898</v>
      </c>
      <c r="D158" t="s">
        <v>15</v>
      </c>
      <c r="E158" t="s">
        <v>4</v>
      </c>
      <c r="G158" t="s">
        <v>569</v>
      </c>
      <c r="H158" t="s">
        <v>721</v>
      </c>
      <c r="I158" s="2" t="str">
        <f>CONCATENATE(B158," ",IF(ISBLANK(H158),D158,H158)," ", ",")</f>
        <v>ipd TIMESTAMP ,</v>
      </c>
    </row>
    <row r="159" spans="2:9" x14ac:dyDescent="0.25">
      <c r="B159" t="s">
        <v>176</v>
      </c>
      <c r="C159" s="2" t="s">
        <v>899</v>
      </c>
      <c r="D159" t="s">
        <v>15</v>
      </c>
      <c r="E159" t="s">
        <v>4</v>
      </c>
      <c r="G159" t="s">
        <v>632</v>
      </c>
      <c r="H159" t="s">
        <v>721</v>
      </c>
      <c r="I159" s="2" t="str">
        <f>CONCATENATE(B159," ",IF(ISBLANK(H159),D159,H159)," ", ",")</f>
        <v>iped TIMESTAMP ,</v>
      </c>
    </row>
    <row r="160" spans="2:9" x14ac:dyDescent="0.25">
      <c r="B160" t="s">
        <v>177</v>
      </c>
      <c r="C160" s="2" t="s">
        <v>952</v>
      </c>
      <c r="D160" t="s">
        <v>1</v>
      </c>
      <c r="E160" t="s">
        <v>4</v>
      </c>
      <c r="G160" t="s">
        <v>569</v>
      </c>
      <c r="H160" t="s">
        <v>727</v>
      </c>
      <c r="I160" s="2" t="str">
        <f>CONCATENATE(B160," ",IF(ISBLANK(H160),D160,H160)," ", ",")</f>
        <v>pyovct BYTEINT ,</v>
      </c>
    </row>
    <row r="161" spans="2:9" x14ac:dyDescent="0.25">
      <c r="B161" t="s">
        <v>178</v>
      </c>
      <c r="C161" s="2" t="s">
        <v>954</v>
      </c>
      <c r="D161" t="s">
        <v>1</v>
      </c>
      <c r="E161" t="s">
        <v>4</v>
      </c>
      <c r="G161" t="s">
        <v>569</v>
      </c>
      <c r="H161" t="s">
        <v>727</v>
      </c>
      <c r="I161" s="2" t="str">
        <f>CONCATENATE(B161," ",IF(ISBLANK(H161),D161,H161)," ", ",")</f>
        <v>pyrxct BYTEINT ,</v>
      </c>
    </row>
    <row r="162" spans="2:9" x14ac:dyDescent="0.25">
      <c r="B162" t="s">
        <v>179</v>
      </c>
      <c r="C162" s="2" t="s">
        <v>956</v>
      </c>
      <c r="D162" t="s">
        <v>6</v>
      </c>
      <c r="E162" t="s">
        <v>4</v>
      </c>
      <c r="G162" t="s">
        <v>569</v>
      </c>
      <c r="H162" t="s">
        <v>728</v>
      </c>
      <c r="I162" s="2" t="str">
        <f>CONCATENATE(B162," ",IF(ISBLANK(H162),D162,H162)," ", ",")</f>
        <v>ratio FLOAT ,</v>
      </c>
    </row>
    <row r="163" spans="2:9" x14ac:dyDescent="0.25">
      <c r="B163" t="s">
        <v>180</v>
      </c>
      <c r="C163" s="2" t="s">
        <v>986</v>
      </c>
      <c r="D163" t="s">
        <v>1</v>
      </c>
      <c r="E163" t="s">
        <v>4</v>
      </c>
      <c r="G163" t="s">
        <v>569</v>
      </c>
      <c r="H163" t="s">
        <v>727</v>
      </c>
      <c r="I163" s="2" t="str">
        <f>CONCATENATE(B163," ",IF(ISBLANK(H163),D163,H163)," ", ",")</f>
        <v>ryovct BYTEINT ,</v>
      </c>
    </row>
    <row r="164" spans="2:9" x14ac:dyDescent="0.25">
      <c r="B164" t="s">
        <v>181</v>
      </c>
      <c r="C164" s="2" t="s">
        <v>987</v>
      </c>
      <c r="D164" t="s">
        <v>1</v>
      </c>
      <c r="E164" t="s">
        <v>4</v>
      </c>
      <c r="G164" t="s">
        <v>569</v>
      </c>
      <c r="H164" t="s">
        <v>727</v>
      </c>
      <c r="I164" s="2" t="str">
        <f>CONCATENATE(B164," ",IF(ISBLANK(H164),D164,H164)," ", ",")</f>
        <v>ryrxct BYTEINT ,</v>
      </c>
    </row>
    <row r="165" spans="2:9" x14ac:dyDescent="0.25">
      <c r="B165" t="s">
        <v>182</v>
      </c>
      <c r="C165" s="2" t="s">
        <v>1034</v>
      </c>
      <c r="D165" t="s">
        <v>83</v>
      </c>
      <c r="E165" t="s">
        <v>4</v>
      </c>
      <c r="G165" t="s">
        <v>569</v>
      </c>
      <c r="H165" s="2" t="s">
        <v>735</v>
      </c>
      <c r="I165" s="2" t="str">
        <f>CONCATENATE(B165," ",IF(ISBLANK(H165),D165,H165)," ", ",")</f>
        <v>totcontunit NUMBER(8,6) ,</v>
      </c>
    </row>
    <row r="166" spans="2:9" x14ac:dyDescent="0.25">
      <c r="B166" t="s">
        <v>183</v>
      </c>
      <c r="C166" s="2" t="s">
        <v>1036</v>
      </c>
      <c r="D166" t="s">
        <v>83</v>
      </c>
      <c r="E166" t="s">
        <v>4</v>
      </c>
      <c r="G166" t="s">
        <v>569</v>
      </c>
      <c r="H166" t="s">
        <v>735</v>
      </c>
      <c r="I166" s="2" t="str">
        <f>CONCATENATE(B166," ",IF(ISBLANK(H166),D166,H166)," ", ",")</f>
        <v>totrelunit NUMBER(8,6) ,</v>
      </c>
    </row>
    <row r="167" spans="2:9" x14ac:dyDescent="0.25">
      <c r="B167" t="s">
        <v>184</v>
      </c>
      <c r="D167" t="s">
        <v>15</v>
      </c>
      <c r="E167" t="s">
        <v>4</v>
      </c>
      <c r="G167" t="s">
        <v>569</v>
      </c>
      <c r="H167" t="s">
        <v>721</v>
      </c>
      <c r="I167" s="2" t="str">
        <f>CONCATENATE(B167," ",IF(ISBLANK(H167),D167,H167)," ", ",")</f>
        <v>begin1 TIMESTAMP ,</v>
      </c>
    </row>
    <row r="168" spans="2:9" x14ac:dyDescent="0.25">
      <c r="B168" t="s">
        <v>185</v>
      </c>
      <c r="D168" t="s">
        <v>15</v>
      </c>
      <c r="E168" t="s">
        <v>4</v>
      </c>
      <c r="G168" t="s">
        <v>569</v>
      </c>
      <c r="H168" t="s">
        <v>721</v>
      </c>
      <c r="I168" s="2" t="str">
        <f>CONCATENATE(B168," ",IF(ISBLANK(H168),D168,H168)," ", ",")</f>
        <v>begin2 TIMESTAMP ,</v>
      </c>
    </row>
    <row r="169" spans="2:9" x14ac:dyDescent="0.25">
      <c r="B169" t="s">
        <v>186</v>
      </c>
      <c r="D169" t="s">
        <v>3</v>
      </c>
      <c r="E169" t="s">
        <v>4</v>
      </c>
      <c r="G169" t="s">
        <v>569</v>
      </c>
      <c r="H169" t="s">
        <v>722</v>
      </c>
      <c r="I169" s="2" t="str">
        <f>CONCATENATE(B169," ",IF(ISBLANK(H169),D169,H169)," ", ",")</f>
        <v>condays1 CHAR(1) ,</v>
      </c>
    </row>
    <row r="170" spans="2:9" x14ac:dyDescent="0.25">
      <c r="B170" t="s">
        <v>187</v>
      </c>
      <c r="D170" t="s">
        <v>3</v>
      </c>
      <c r="E170" t="s">
        <v>4</v>
      </c>
      <c r="G170" t="s">
        <v>569</v>
      </c>
      <c r="H170" t="s">
        <v>722</v>
      </c>
      <c r="I170" s="2" t="str">
        <f>CONCATENATE(B170," ",IF(ISBLANK(H170),D170,H170)," ", ",")</f>
        <v>condays2 CHAR(1) ,</v>
      </c>
    </row>
    <row r="171" spans="2:9" x14ac:dyDescent="0.25">
      <c r="B171" t="s">
        <v>188</v>
      </c>
      <c r="D171" t="s">
        <v>189</v>
      </c>
      <c r="E171" t="s">
        <v>4</v>
      </c>
      <c r="G171" t="s">
        <v>569</v>
      </c>
      <c r="H171" t="s">
        <v>189</v>
      </c>
      <c r="I171" s="2" t="str">
        <f>CONCATENATE(B171," ",IF(ISBLANK(H171),D171,H171)," ", ",")</f>
        <v>conmed1 VARCHAR(15) ,</v>
      </c>
    </row>
    <row r="172" spans="2:9" x14ac:dyDescent="0.25">
      <c r="B172" t="s">
        <v>190</v>
      </c>
      <c r="D172" t="s">
        <v>189</v>
      </c>
      <c r="E172" t="s">
        <v>4</v>
      </c>
      <c r="G172" t="s">
        <v>569</v>
      </c>
      <c r="H172" s="2" t="s">
        <v>189</v>
      </c>
      <c r="I172" s="2" t="str">
        <f>CONCATENATE(B172," ",IF(ISBLANK(H172),D172,H172)," ", ",")</f>
        <v>conmed2 VARCHAR(15) ,</v>
      </c>
    </row>
    <row r="173" spans="2:9" x14ac:dyDescent="0.25">
      <c r="B173" t="s">
        <v>191</v>
      </c>
      <c r="D173" t="s">
        <v>3</v>
      </c>
      <c r="E173" t="s">
        <v>4</v>
      </c>
      <c r="G173" t="s">
        <v>569</v>
      </c>
      <c r="H173" t="s">
        <v>722</v>
      </c>
      <c r="I173" s="2" t="str">
        <f>CONCATENATE(B173," ",IF(ISBLANK(H173),D173,H173)," ", ",")</f>
        <v>count_ CHAR(1) ,</v>
      </c>
    </row>
    <row r="174" spans="2:9" x14ac:dyDescent="0.25">
      <c r="B174" t="s">
        <v>192</v>
      </c>
      <c r="D174" t="s">
        <v>1</v>
      </c>
      <c r="E174" t="s">
        <v>4</v>
      </c>
      <c r="G174" t="s">
        <v>569</v>
      </c>
      <c r="H174" t="s">
        <v>727</v>
      </c>
      <c r="I174" s="2" t="str">
        <f>CONCATENATE(B174," ",IF(ISBLANK(H174),D174,H174)," ", ",")</f>
        <v>currdays2 BYTEINT ,</v>
      </c>
    </row>
    <row r="175" spans="2:9" x14ac:dyDescent="0.25">
      <c r="B175" t="s">
        <v>193</v>
      </c>
      <c r="D175" t="s">
        <v>15</v>
      </c>
      <c r="E175" t="s">
        <v>4</v>
      </c>
      <c r="G175" t="s">
        <v>569</v>
      </c>
      <c r="H175" t="s">
        <v>721</v>
      </c>
      <c r="I175" s="2" t="str">
        <f>CONCATENATE(B175," ",IF(ISBLANK(H175),D175,H175)," ", ",")</f>
        <v>currdos2 TIMESTAMP ,</v>
      </c>
    </row>
    <row r="176" spans="2:9" x14ac:dyDescent="0.25">
      <c r="B176" t="s">
        <v>194</v>
      </c>
      <c r="D176" t="s">
        <v>15</v>
      </c>
      <c r="E176" t="s">
        <v>4</v>
      </c>
      <c r="G176" t="s">
        <v>569</v>
      </c>
      <c r="H176" t="s">
        <v>721</v>
      </c>
      <c r="I176" s="2" t="str">
        <f>CONCATENATE(B176," ",IF(ISBLANK(H176),D176,H176)," ", ",")</f>
        <v>currdosthru2 TIMESTAMP ,</v>
      </c>
    </row>
    <row r="177" spans="2:9" x14ac:dyDescent="0.25">
      <c r="B177" t="s">
        <v>195</v>
      </c>
      <c r="D177" t="s">
        <v>15</v>
      </c>
      <c r="E177" t="s">
        <v>4</v>
      </c>
      <c r="G177" t="s">
        <v>569</v>
      </c>
      <c r="H177" t="s">
        <v>721</v>
      </c>
      <c r="I177" s="2" t="str">
        <f>CONCATENATE(B177," ",IF(ISBLANK(H177),D177,H177)," ", ",")</f>
        <v>end1 TIMESTAMP ,</v>
      </c>
    </row>
    <row r="178" spans="2:9" x14ac:dyDescent="0.25">
      <c r="B178" t="s">
        <v>196</v>
      </c>
      <c r="D178" t="s">
        <v>15</v>
      </c>
      <c r="E178" t="s">
        <v>4</v>
      </c>
      <c r="G178" t="s">
        <v>569</v>
      </c>
      <c r="H178" t="s">
        <v>721</v>
      </c>
      <c r="I178" s="2" t="str">
        <f>CONCATENATE(B178," ",IF(ISBLANK(H178),D178,H178)," ", ",")</f>
        <v>end2 TIMESTAMP ,</v>
      </c>
    </row>
    <row r="179" spans="2:9" x14ac:dyDescent="0.25">
      <c r="B179" t="s">
        <v>197</v>
      </c>
      <c r="D179" t="s">
        <v>3</v>
      </c>
      <c r="E179" t="s">
        <v>4</v>
      </c>
      <c r="G179" t="s">
        <v>569</v>
      </c>
      <c r="H179" t="s">
        <v>722</v>
      </c>
      <c r="I179" s="2" t="str">
        <f>CONCATENATE(B179," ",IF(ISBLANK(H179),D179,H179)," ", ",")</f>
        <v>ext CHAR(1) ,</v>
      </c>
    </row>
    <row r="180" spans="2:9" x14ac:dyDescent="0.25">
      <c r="B180" t="s">
        <v>198</v>
      </c>
      <c r="C180" s="2" t="s">
        <v>878</v>
      </c>
      <c r="D180" t="s">
        <v>3</v>
      </c>
      <c r="E180" t="s">
        <v>4</v>
      </c>
      <c r="G180" t="s">
        <v>569</v>
      </c>
      <c r="H180" t="s">
        <v>722</v>
      </c>
      <c r="I180" s="2" t="str">
        <f>CONCATENATE(B180," ",IF(ISBLANK(H180),D180,H180)," ", ",")</f>
        <v>fnd CHAR(1) ,</v>
      </c>
    </row>
    <row r="181" spans="2:9" x14ac:dyDescent="0.25">
      <c r="B181" t="s">
        <v>199</v>
      </c>
      <c r="D181" t="s">
        <v>15</v>
      </c>
      <c r="E181" t="s">
        <v>4</v>
      </c>
      <c r="G181" t="s">
        <v>569</v>
      </c>
      <c r="H181" t="s">
        <v>721</v>
      </c>
      <c r="I181" s="2" t="str">
        <f>CONCATENATE(B181," ",IF(ISBLANK(H181),D181,H181)," ", ",")</f>
        <v>lastdos2 TIMESTAMP ,</v>
      </c>
    </row>
    <row r="182" spans="2:9" x14ac:dyDescent="0.25">
      <c r="B182" t="s">
        <v>200</v>
      </c>
      <c r="D182" t="s">
        <v>15</v>
      </c>
      <c r="E182" t="s">
        <v>4</v>
      </c>
      <c r="G182" t="s">
        <v>569</v>
      </c>
      <c r="H182" t="s">
        <v>721</v>
      </c>
      <c r="I182" s="2" t="str">
        <f>CONCATENATE(B182," ",IF(ISBLANK(H182),D182,H182)," ", ",")</f>
        <v>lastdosthru2 TIMESTAMP ,</v>
      </c>
    </row>
    <row r="183" spans="2:9" x14ac:dyDescent="0.25">
      <c r="B183" t="s">
        <v>201</v>
      </c>
      <c r="D183" t="s">
        <v>1</v>
      </c>
      <c r="E183" t="s">
        <v>4</v>
      </c>
      <c r="G183" t="s">
        <v>569</v>
      </c>
      <c r="H183" t="s">
        <v>727</v>
      </c>
      <c r="I183" s="2" t="str">
        <f>CONCATENATE(B183," ",IF(ISBLANK(H183),D183,H183)," ", ",")</f>
        <v>newdays2 BYTEINT ,</v>
      </c>
    </row>
    <row r="184" spans="2:9" x14ac:dyDescent="0.25">
      <c r="B184" t="s">
        <v>202</v>
      </c>
      <c r="D184" t="s">
        <v>15</v>
      </c>
      <c r="E184" t="s">
        <v>4</v>
      </c>
      <c r="G184" t="s">
        <v>569</v>
      </c>
      <c r="H184" t="s">
        <v>721</v>
      </c>
      <c r="I184" s="2" t="str">
        <f>CONCATENATE(B184," ",IF(ISBLANK(H184),D184,H184)," ", ",")</f>
        <v>newdos2 TIMESTAMP ,</v>
      </c>
    </row>
    <row r="185" spans="2:9" x14ac:dyDescent="0.25">
      <c r="B185" t="s">
        <v>203</v>
      </c>
      <c r="D185" t="s">
        <v>15</v>
      </c>
      <c r="E185" t="s">
        <v>4</v>
      </c>
      <c r="G185" t="s">
        <v>569</v>
      </c>
      <c r="H185" t="s">
        <v>721</v>
      </c>
      <c r="I185" s="2" t="str">
        <f>CONCATENATE(B185," ",IF(ISBLANK(H185),D185,H185)," ", ",")</f>
        <v>newdosthru2 TIMESTAMP ,</v>
      </c>
    </row>
    <row r="186" spans="2:9" x14ac:dyDescent="0.25">
      <c r="B186" t="s">
        <v>204</v>
      </c>
      <c r="C186" s="2" t="s">
        <v>1017</v>
      </c>
      <c r="D186" t="s">
        <v>1</v>
      </c>
      <c r="E186" t="s">
        <v>4</v>
      </c>
      <c r="G186" t="s">
        <v>569</v>
      </c>
      <c r="H186" t="s">
        <v>727</v>
      </c>
      <c r="I186" s="2" t="str">
        <f>CONCATENATE(B186," ",IF(ISBLANK(H186),D186,H186)," ", ",")</f>
        <v>srvc BYTEINT ,</v>
      </c>
    </row>
    <row r="187" spans="2:9" x14ac:dyDescent="0.25">
      <c r="B187" t="s">
        <v>205</v>
      </c>
      <c r="C187" s="2" t="s">
        <v>1022</v>
      </c>
      <c r="D187" t="s">
        <v>3</v>
      </c>
      <c r="E187" t="s">
        <v>4</v>
      </c>
      <c r="G187" t="s">
        <v>569</v>
      </c>
      <c r="H187" t="s">
        <v>722</v>
      </c>
      <c r="I187" s="2" t="str">
        <f>CONCATENATE(B187," ",IF(ISBLANK(H187),D187,H187)," ", ",")</f>
        <v>supp_cholestrol CHAR(1) ,</v>
      </c>
    </row>
    <row r="188" spans="2:9" x14ac:dyDescent="0.25">
      <c r="B188" t="s">
        <v>206</v>
      </c>
      <c r="C188" s="2" t="s">
        <v>1025</v>
      </c>
      <c r="D188" t="s">
        <v>3</v>
      </c>
      <c r="E188" t="s">
        <v>4</v>
      </c>
      <c r="G188" t="s">
        <v>569</v>
      </c>
      <c r="H188" t="s">
        <v>722</v>
      </c>
      <c r="I188" s="2" t="str">
        <f>CONCATENATE(B188," ",IF(ISBLANK(H188),D188,H188)," ", ",")</f>
        <v>supp_glucose CHAR(1) ,</v>
      </c>
    </row>
    <row r="189" spans="2:9" x14ac:dyDescent="0.25">
      <c r="B189" t="s">
        <v>207</v>
      </c>
      <c r="D189" t="s">
        <v>15</v>
      </c>
      <c r="E189" t="s">
        <v>4</v>
      </c>
      <c r="G189" t="s">
        <v>569</v>
      </c>
      <c r="H189" t="s">
        <v>721</v>
      </c>
      <c r="I189" s="2" t="str">
        <f>CONCATENATE(B189," ",IF(ISBLANK(H189),D189,H189)," ", ",")</f>
        <v>svcdt_chol TIMESTAMP ,</v>
      </c>
    </row>
    <row r="190" spans="2:9" x14ac:dyDescent="0.25">
      <c r="B190" t="s">
        <v>208</v>
      </c>
      <c r="D190" t="s">
        <v>15</v>
      </c>
      <c r="E190" t="s">
        <v>4</v>
      </c>
      <c r="G190" t="s">
        <v>569</v>
      </c>
      <c r="H190" t="s">
        <v>721</v>
      </c>
      <c r="I190" s="2" t="str">
        <f>CONCATENATE(B190," ",IF(ISBLANK(H190),D190,H190)," ", ",")</f>
        <v>svcdt_glhb TIMESTAMP ,</v>
      </c>
    </row>
    <row r="191" spans="2:9" x14ac:dyDescent="0.25">
      <c r="B191" t="s">
        <v>209</v>
      </c>
      <c r="C191" s="2" t="s">
        <v>900</v>
      </c>
      <c r="D191" t="s">
        <v>15</v>
      </c>
      <c r="E191" t="s">
        <v>4</v>
      </c>
      <c r="G191" t="s">
        <v>569</v>
      </c>
      <c r="H191" t="s">
        <v>721</v>
      </c>
      <c r="I191" s="2" t="str">
        <f>CONCATENATE(B191," ",IF(ISBLANK(H191),D191,H191)," ", ",")</f>
        <v>ipsd TIMESTAMP ,</v>
      </c>
    </row>
    <row r="192" spans="2:9" x14ac:dyDescent="0.25">
      <c r="B192" t="s">
        <v>210</v>
      </c>
      <c r="D192" t="s">
        <v>15</v>
      </c>
      <c r="E192" t="s">
        <v>4</v>
      </c>
      <c r="G192" t="s">
        <v>569</v>
      </c>
      <c r="H192" t="s">
        <v>721</v>
      </c>
      <c r="I192" s="2" t="str">
        <f>CONCATENATE(B192," ",IF(ISBLANK(H192),D192,H192)," ", ",")</f>
        <v>disch_dt TIMESTAMP ,</v>
      </c>
    </row>
    <row r="193" spans="2:9" x14ac:dyDescent="0.25">
      <c r="B193" t="s">
        <v>211</v>
      </c>
      <c r="C193" s="2" t="s">
        <v>1039</v>
      </c>
      <c r="D193" t="s">
        <v>1</v>
      </c>
      <c r="E193" t="s">
        <v>4</v>
      </c>
      <c r="G193" t="s">
        <v>569</v>
      </c>
      <c r="H193" t="s">
        <v>727</v>
      </c>
      <c r="I193" s="2" t="str">
        <f>CONCATENATE(B193," ",IF(ISBLANK(H193),D193,H193)," ", ",")</f>
        <v>visits BYTEINT ,</v>
      </c>
    </row>
    <row r="194" spans="2:9" x14ac:dyDescent="0.25">
      <c r="B194" t="s">
        <v>212</v>
      </c>
      <c r="D194" t="s">
        <v>15</v>
      </c>
      <c r="E194" t="s">
        <v>4</v>
      </c>
      <c r="G194" t="s">
        <v>572</v>
      </c>
      <c r="H194" t="s">
        <v>721</v>
      </c>
      <c r="I194" s="2" t="str">
        <f>CONCATENATE(B194," ",IF(ISBLANK(H194),D194,H194)," ", ",")</f>
        <v>last_comp_dt TIMESTAMP ,</v>
      </c>
    </row>
    <row r="195" spans="2:9" x14ac:dyDescent="0.25">
      <c r="B195" t="s">
        <v>213</v>
      </c>
      <c r="C195" s="2" t="s">
        <v>768</v>
      </c>
      <c r="D195" t="s">
        <v>3</v>
      </c>
      <c r="E195" t="s">
        <v>4</v>
      </c>
      <c r="G195" t="s">
        <v>575</v>
      </c>
      <c r="H195" t="s">
        <v>722</v>
      </c>
      <c r="I195" s="2" t="str">
        <f>CONCATENATE(B195," ",IF(ISBLANK(H195),D195,H195)," ", ",")</f>
        <v>ltmastct CHAR(1) ,</v>
      </c>
    </row>
    <row r="196" spans="2:9" x14ac:dyDescent="0.25">
      <c r="B196" t="s">
        <v>214</v>
      </c>
      <c r="C196" s="2" t="s">
        <v>769</v>
      </c>
      <c r="D196" t="s">
        <v>15</v>
      </c>
      <c r="E196" t="s">
        <v>4</v>
      </c>
      <c r="G196" t="s">
        <v>572</v>
      </c>
      <c r="H196" t="s">
        <v>721</v>
      </c>
      <c r="I196" s="2" t="str">
        <f>CONCATENATE(B196," ",IF(ISBLANK(H196),D196,H196)," ", ",")</f>
        <v>ltmastdate TIMESTAMP ,</v>
      </c>
    </row>
    <row r="197" spans="2:9" x14ac:dyDescent="0.25">
      <c r="B197" t="s">
        <v>215</v>
      </c>
      <c r="C197" s="2" t="s">
        <v>770</v>
      </c>
      <c r="D197" t="s">
        <v>15</v>
      </c>
      <c r="E197" t="s">
        <v>4</v>
      </c>
      <c r="G197" t="s">
        <v>572</v>
      </c>
      <c r="H197" t="s">
        <v>721</v>
      </c>
      <c r="I197" s="2" t="str">
        <f>CONCATENATE(B197," ",IF(ISBLANK(H197),D197,H197)," ", ",")</f>
        <v>mastdate TIMESTAMP ,</v>
      </c>
    </row>
    <row r="198" spans="2:9" x14ac:dyDescent="0.25">
      <c r="B198" t="s">
        <v>216</v>
      </c>
      <c r="C198" s="2" t="s">
        <v>772</v>
      </c>
      <c r="D198" t="s">
        <v>3</v>
      </c>
      <c r="E198" t="s">
        <v>4</v>
      </c>
      <c r="G198" t="s">
        <v>575</v>
      </c>
      <c r="H198" t="s">
        <v>722</v>
      </c>
      <c r="I198" s="2" t="str">
        <f>CONCATENATE(B198," ",IF(ISBLANK(H198),D198,H198)," ", ",")</f>
        <v>rtmastct CHAR(1) ,</v>
      </c>
    </row>
    <row r="199" spans="2:9" x14ac:dyDescent="0.25">
      <c r="B199" t="s">
        <v>217</v>
      </c>
      <c r="C199" s="2" t="s">
        <v>773</v>
      </c>
      <c r="D199" t="s">
        <v>15</v>
      </c>
      <c r="E199" t="s">
        <v>4</v>
      </c>
      <c r="G199" t="s">
        <v>572</v>
      </c>
      <c r="H199" t="s">
        <v>721</v>
      </c>
      <c r="I199" s="2" t="str">
        <f>CONCATENATE(B199," ",IF(ISBLANK(H199),D199,H199)," ", ",")</f>
        <v>rtmastdate TIMESTAMP ,</v>
      </c>
    </row>
    <row r="200" spans="2:9" x14ac:dyDescent="0.25">
      <c r="B200" t="s">
        <v>218</v>
      </c>
      <c r="C200" s="2" t="s">
        <v>821</v>
      </c>
      <c r="D200" t="s">
        <v>1</v>
      </c>
      <c r="E200" t="s">
        <v>4</v>
      </c>
      <c r="G200" t="s">
        <v>569</v>
      </c>
      <c r="H200" t="s">
        <v>727</v>
      </c>
      <c r="I200" s="2" t="str">
        <f>CONCATENATE(B200," ",IF(ISBLANK(H200),D200,H200)," ", ",")</f>
        <v>age_ryend BYTEINT ,</v>
      </c>
    </row>
    <row r="201" spans="2:9" x14ac:dyDescent="0.25">
      <c r="B201" t="s">
        <v>219</v>
      </c>
      <c r="C201" s="2" t="s">
        <v>846</v>
      </c>
      <c r="D201" t="s">
        <v>15</v>
      </c>
      <c r="E201" t="s">
        <v>4</v>
      </c>
      <c r="G201" t="s">
        <v>633</v>
      </c>
      <c r="H201" t="s">
        <v>721</v>
      </c>
      <c r="I201" s="2" t="str">
        <f>CONCATENATE(B201," ",IF(ISBLANK(H201),D201,H201)," ", ",")</f>
        <v>date1 TIMESTAMP ,</v>
      </c>
    </row>
    <row r="202" spans="2:9" x14ac:dyDescent="0.25">
      <c r="B202" t="s">
        <v>220</v>
      </c>
      <c r="C202" s="2" t="s">
        <v>847</v>
      </c>
      <c r="D202" t="s">
        <v>15</v>
      </c>
      <c r="E202" t="s">
        <v>4</v>
      </c>
      <c r="G202" t="s">
        <v>634</v>
      </c>
      <c r="H202" t="s">
        <v>721</v>
      </c>
      <c r="I202" s="2" t="str">
        <f>CONCATENATE(B202," ",IF(ISBLANK(H202),D202,H202)," ", ",")</f>
        <v>date2 TIMESTAMP ,</v>
      </c>
    </row>
    <row r="203" spans="2:9" x14ac:dyDescent="0.25">
      <c r="B203" t="s">
        <v>221</v>
      </c>
      <c r="C203" s="2" t="s">
        <v>848</v>
      </c>
      <c r="D203" t="s">
        <v>15</v>
      </c>
      <c r="E203" t="s">
        <v>4</v>
      </c>
      <c r="G203" t="s">
        <v>635</v>
      </c>
      <c r="H203" t="s">
        <v>721</v>
      </c>
      <c r="I203" s="2" t="str">
        <f>CONCATENATE(B203," ",IF(ISBLANK(H203),D203,H203)," ", ",")</f>
        <v>date3 TIMESTAMP ,</v>
      </c>
    </row>
    <row r="204" spans="2:9" x14ac:dyDescent="0.25">
      <c r="B204" t="s">
        <v>222</v>
      </c>
      <c r="C204" s="2" t="s">
        <v>849</v>
      </c>
      <c r="D204" t="s">
        <v>15</v>
      </c>
      <c r="E204" t="s">
        <v>4</v>
      </c>
      <c r="G204" t="s">
        <v>636</v>
      </c>
      <c r="H204" t="s">
        <v>721</v>
      </c>
      <c r="I204" s="2" t="str">
        <f>CONCATENATE(B204," ",IF(ISBLANK(H204),D204,H204)," ", ",")</f>
        <v>date4 TIMESTAMP ,</v>
      </c>
    </row>
    <row r="205" spans="2:9" x14ac:dyDescent="0.25">
      <c r="B205" t="s">
        <v>223</v>
      </c>
      <c r="C205" s="2" t="s">
        <v>858</v>
      </c>
      <c r="D205" t="s">
        <v>3</v>
      </c>
      <c r="E205" t="s">
        <v>4</v>
      </c>
      <c r="G205" t="s">
        <v>574</v>
      </c>
      <c r="H205" t="s">
        <v>722</v>
      </c>
      <c r="I205" s="2" t="str">
        <f>CONCATENATE(B205," ",IF(ISBLANK(H205),D205,H205)," ", ",")</f>
        <v>diabetic CHAR(1) ,</v>
      </c>
    </row>
    <row r="206" spans="2:9" x14ac:dyDescent="0.25">
      <c r="B206" t="s">
        <v>224</v>
      </c>
      <c r="C206" s="2" t="s">
        <v>874</v>
      </c>
      <c r="D206" t="s">
        <v>3</v>
      </c>
      <c r="E206" t="s">
        <v>4</v>
      </c>
      <c r="G206" t="s">
        <v>574</v>
      </c>
      <c r="H206" t="s">
        <v>722</v>
      </c>
      <c r="I206" s="2" t="str">
        <f>CONCATENATE(B206," ",IF(ISBLANK(H206),D206,H206)," ", ",")</f>
        <v>flag1 CHAR(1) ,</v>
      </c>
    </row>
    <row r="207" spans="2:9" x14ac:dyDescent="0.25">
      <c r="B207" t="s">
        <v>225</v>
      </c>
      <c r="C207" s="2" t="s">
        <v>903</v>
      </c>
      <c r="D207" t="s">
        <v>15</v>
      </c>
      <c r="E207" t="s">
        <v>4</v>
      </c>
      <c r="G207" t="s">
        <v>572</v>
      </c>
      <c r="H207" t="s">
        <v>721</v>
      </c>
      <c r="I207" s="2" t="str">
        <f>CONCATENATE(B207," ",IF(ISBLANK(H207),D207,H207)," ", ",")</f>
        <v>lastbp TIMESTAMP ,</v>
      </c>
    </row>
    <row r="208" spans="2:9" x14ac:dyDescent="0.25">
      <c r="B208" t="s">
        <v>226</v>
      </c>
      <c r="C208" s="2" t="s">
        <v>904</v>
      </c>
      <c r="D208" t="s">
        <v>3</v>
      </c>
      <c r="E208" t="s">
        <v>4</v>
      </c>
      <c r="G208" t="s">
        <v>575</v>
      </c>
      <c r="H208" t="s">
        <v>722</v>
      </c>
      <c r="I208" s="2" t="str">
        <f>CONCATENATE(B208," ",IF(ISBLANK(H208),D208,H208)," ", ",")</f>
        <v>lastbp_dia CHAR(1) ,</v>
      </c>
    </row>
    <row r="209" spans="2:9" x14ac:dyDescent="0.25">
      <c r="B209" t="s">
        <v>227</v>
      </c>
      <c r="C209" s="2" t="s">
        <v>906</v>
      </c>
      <c r="D209" t="s">
        <v>3</v>
      </c>
      <c r="E209" t="s">
        <v>4</v>
      </c>
      <c r="G209" t="s">
        <v>575</v>
      </c>
      <c r="H209" t="s">
        <v>722</v>
      </c>
      <c r="I209" s="2" t="str">
        <f>CONCATENATE(B209," ",IF(ISBLANK(H209),D209,H209)," ", ",")</f>
        <v>lastbp_sys CHAR(1) ,</v>
      </c>
    </row>
    <row r="210" spans="2:9" x14ac:dyDescent="0.25">
      <c r="B210" t="s">
        <v>228</v>
      </c>
      <c r="C210" s="2" t="s">
        <v>928</v>
      </c>
      <c r="D210" t="s">
        <v>3</v>
      </c>
      <c r="E210" t="s">
        <v>4</v>
      </c>
      <c r="G210" t="s">
        <v>574</v>
      </c>
      <c r="H210" t="s">
        <v>722</v>
      </c>
      <c r="I210" s="2" t="str">
        <f>CONCATENATE(B210," ",IF(ISBLANK(H210),D210,H210)," ", ",")</f>
        <v>mrnodiab CHAR(1) ,</v>
      </c>
    </row>
    <row r="211" spans="2:9" x14ac:dyDescent="0.25">
      <c r="B211" t="s">
        <v>229</v>
      </c>
      <c r="C211" s="2" t="s">
        <v>931</v>
      </c>
      <c r="D211" t="s">
        <v>3</v>
      </c>
      <c r="E211" t="s">
        <v>4</v>
      </c>
      <c r="G211" t="s">
        <v>575</v>
      </c>
      <c r="H211" t="s">
        <v>722</v>
      </c>
      <c r="I211" s="2" t="str">
        <f>CONCATENATE(B211," ",IF(ISBLANK(H211),D211,H211)," ", ",")</f>
        <v>nadvct CHAR(1) ,</v>
      </c>
    </row>
    <row r="212" spans="2:9" x14ac:dyDescent="0.25">
      <c r="B212" t="s">
        <v>230</v>
      </c>
      <c r="C212" s="2" t="s">
        <v>1031</v>
      </c>
      <c r="D212" t="s">
        <v>231</v>
      </c>
      <c r="E212" t="s">
        <v>4</v>
      </c>
      <c r="G212" t="s">
        <v>569</v>
      </c>
      <c r="H212" t="s">
        <v>231</v>
      </c>
      <c r="I212" s="2" t="str">
        <f>CONCATENATE(B212," ",IF(ISBLANK(H212),D212,H212)," ", ",")</f>
        <v>text1 VARCHAR(7) ,</v>
      </c>
    </row>
    <row r="213" spans="2:9" x14ac:dyDescent="0.25">
      <c r="B213" t="s">
        <v>232</v>
      </c>
      <c r="D213" t="s">
        <v>15</v>
      </c>
      <c r="E213" t="s">
        <v>4</v>
      </c>
      <c r="G213" t="s">
        <v>572</v>
      </c>
      <c r="H213" t="s">
        <v>721</v>
      </c>
      <c r="I213" s="2" t="str">
        <f>CONCATENATE(B213," ",IF(ISBLANK(H213),D213,H213)," ", ",")</f>
        <v>svcdt_hpv TIMESTAMP ,</v>
      </c>
    </row>
    <row r="214" spans="2:9" x14ac:dyDescent="0.25">
      <c r="B214" t="s">
        <v>233</v>
      </c>
      <c r="D214" t="s">
        <v>15</v>
      </c>
      <c r="E214" t="s">
        <v>4</v>
      </c>
      <c r="G214" t="s">
        <v>572</v>
      </c>
      <c r="H214" t="s">
        <v>721</v>
      </c>
      <c r="I214" s="2" t="str">
        <f>CONCATENATE(B214," ",IF(ISBLANK(H214),D214,H214)," ", ",")</f>
        <v>svcdt_pap TIMESTAMP ,</v>
      </c>
    </row>
    <row r="215" spans="2:9" x14ac:dyDescent="0.25">
      <c r="B215" t="s">
        <v>234</v>
      </c>
      <c r="C215" s="2" t="s">
        <v>830</v>
      </c>
      <c r="D215" t="s">
        <v>3</v>
      </c>
      <c r="E215" t="s">
        <v>4</v>
      </c>
      <c r="G215" t="s">
        <v>571</v>
      </c>
      <c r="H215" t="s">
        <v>722</v>
      </c>
      <c r="I215" s="2" t="str">
        <f>CONCATENATE(B215," ",IF(ISBLANK(H215),D215,H215)," ", ",")</f>
        <v>ceidfg CHAR(1) ,</v>
      </c>
    </row>
    <row r="216" spans="2:9" x14ac:dyDescent="0.25">
      <c r="B216" t="s">
        <v>235</v>
      </c>
      <c r="C216" s="2" t="s">
        <v>843</v>
      </c>
      <c r="D216" t="s">
        <v>3</v>
      </c>
      <c r="E216" t="s">
        <v>4</v>
      </c>
      <c r="G216" t="s">
        <v>574</v>
      </c>
      <c r="H216" t="s">
        <v>722</v>
      </c>
      <c r="I216" s="2" t="str">
        <f>CONCATENATE(B216," ",IF(ISBLANK(H216),D216,H216)," ", ",")</f>
        <v>cpt3045f CHAR(1) ,</v>
      </c>
    </row>
    <row r="217" spans="2:9" x14ac:dyDescent="0.25">
      <c r="B217" t="s">
        <v>236</v>
      </c>
      <c r="C217" s="2" t="s">
        <v>879</v>
      </c>
      <c r="D217" t="s">
        <v>3</v>
      </c>
      <c r="E217" t="s">
        <v>4</v>
      </c>
      <c r="G217" t="s">
        <v>573</v>
      </c>
      <c r="H217" t="s">
        <v>722</v>
      </c>
      <c r="I217" s="2" t="str">
        <f>CONCATENATE(B217," ",IF(ISBLANK(H217),D217,H217)," ", ",")</f>
        <v>hbrslt CHAR(1) ,</v>
      </c>
    </row>
    <row r="218" spans="2:9" x14ac:dyDescent="0.25">
      <c r="B218" t="s">
        <v>237</v>
      </c>
      <c r="C218" s="2" t="s">
        <v>880</v>
      </c>
      <c r="D218" t="s">
        <v>3</v>
      </c>
      <c r="E218" t="s">
        <v>4</v>
      </c>
      <c r="G218" t="s">
        <v>628</v>
      </c>
      <c r="H218" t="s">
        <v>722</v>
      </c>
      <c r="I218" s="2" t="str">
        <f>CONCATENATE(B218," ",IF(ISBLANK(H218),D218,H218)," ", ",")</f>
        <v>hbtest CHAR(1) ,</v>
      </c>
    </row>
    <row r="219" spans="2:9" x14ac:dyDescent="0.25">
      <c r="B219" t="s">
        <v>238</v>
      </c>
      <c r="C219" s="2" t="s">
        <v>905</v>
      </c>
      <c r="D219" t="s">
        <v>3</v>
      </c>
      <c r="E219" t="s">
        <v>4</v>
      </c>
      <c r="G219" t="s">
        <v>574</v>
      </c>
      <c r="H219" t="s">
        <v>722</v>
      </c>
      <c r="I219" s="2" t="str">
        <f>CONCATENATE(B219," ",IF(ISBLANK(H219),D219,H219)," ", ",")</f>
        <v>lastbp_fnd CHAR(1) ,</v>
      </c>
    </row>
    <row r="220" spans="2:9" x14ac:dyDescent="0.25">
      <c r="B220" t="s">
        <v>239</v>
      </c>
      <c r="C220" s="2" t="s">
        <v>908</v>
      </c>
      <c r="D220" t="s">
        <v>83</v>
      </c>
      <c r="E220" t="s">
        <v>4</v>
      </c>
      <c r="G220" t="s">
        <v>575</v>
      </c>
      <c r="H220" t="s">
        <v>734</v>
      </c>
      <c r="I220" s="2" t="str">
        <f>CONCATENATE(B220," ",IF(ISBLANK(H220),D220,H220)," ", ",")</f>
        <v>lasthb_val NUMBER(5,2) ,</v>
      </c>
    </row>
    <row r="221" spans="2:9" x14ac:dyDescent="0.25">
      <c r="B221" t="s">
        <v>240</v>
      </c>
      <c r="D221" t="s">
        <v>3</v>
      </c>
      <c r="E221" t="s">
        <v>4</v>
      </c>
      <c r="G221" t="s">
        <v>573</v>
      </c>
      <c r="H221" t="s">
        <v>722</v>
      </c>
      <c r="I221" s="2" t="str">
        <f>CONCATENATE(B221," ",IF(ISBLANK(H221),D221,H221)," ", ",")</f>
        <v>rxidfg CHAR(1) ,</v>
      </c>
    </row>
    <row r="222" spans="2:9" x14ac:dyDescent="0.25">
      <c r="B222" t="s">
        <v>241</v>
      </c>
      <c r="C222" s="2" t="s">
        <v>854</v>
      </c>
      <c r="D222" t="s">
        <v>3</v>
      </c>
      <c r="E222" t="s">
        <v>4</v>
      </c>
      <c r="G222" t="s">
        <v>637</v>
      </c>
      <c r="H222" t="s">
        <v>722</v>
      </c>
      <c r="I222" s="2" t="str">
        <f>CONCATENATE(B222," ",IF(ISBLANK(H222),D222,H222)," ", ",")</f>
        <v>dct CHAR(1) ,</v>
      </c>
    </row>
    <row r="223" spans="2:9" x14ac:dyDescent="0.25">
      <c r="B223" t="s">
        <v>242</v>
      </c>
      <c r="C223" s="2" t="s">
        <v>876</v>
      </c>
      <c r="D223" t="s">
        <v>3</v>
      </c>
      <c r="E223" t="s">
        <v>4</v>
      </c>
      <c r="G223" t="s">
        <v>638</v>
      </c>
      <c r="H223" t="s">
        <v>722</v>
      </c>
      <c r="I223" s="2" t="str">
        <f>CONCATENATE(B223," ",IF(ISBLANK(H223),D223,H223)," ", ",")</f>
        <v>fluct CHAR(1) ,</v>
      </c>
    </row>
    <row r="224" spans="2:9" x14ac:dyDescent="0.25">
      <c r="B224" t="s">
        <v>243</v>
      </c>
      <c r="C224" s="2" t="s">
        <v>881</v>
      </c>
      <c r="D224" t="s">
        <v>3</v>
      </c>
      <c r="E224" t="s">
        <v>4</v>
      </c>
      <c r="G224" t="s">
        <v>639</v>
      </c>
      <c r="H224" t="s">
        <v>722</v>
      </c>
      <c r="I224" s="2" t="str">
        <f>CONCATENATE(B224," ",IF(ISBLANK(H224),D224,H224)," ", ",")</f>
        <v>hepact CHAR(1) ,</v>
      </c>
    </row>
    <row r="225" spans="2:9" x14ac:dyDescent="0.25">
      <c r="B225" t="s">
        <v>244</v>
      </c>
      <c r="C225" s="2" t="s">
        <v>882</v>
      </c>
      <c r="D225" t="s">
        <v>3</v>
      </c>
      <c r="E225" t="s">
        <v>4</v>
      </c>
      <c r="G225" t="s">
        <v>640</v>
      </c>
      <c r="H225" t="s">
        <v>722</v>
      </c>
      <c r="I225" s="2" t="str">
        <f>CONCATENATE(B225," ",IF(ISBLANK(H225),D225,H225)," ", ",")</f>
        <v>hepbct CHAR(1) ,</v>
      </c>
    </row>
    <row r="226" spans="2:9" x14ac:dyDescent="0.25">
      <c r="B226" t="s">
        <v>245</v>
      </c>
      <c r="C226" s="2" t="s">
        <v>883</v>
      </c>
      <c r="D226" t="s">
        <v>3</v>
      </c>
      <c r="E226" t="s">
        <v>4</v>
      </c>
      <c r="G226" t="s">
        <v>637</v>
      </c>
      <c r="H226" t="s">
        <v>722</v>
      </c>
      <c r="I226" s="2" t="str">
        <f>CONCATENATE(B226," ",IF(ISBLANK(H226),D226,H226)," ", ",")</f>
        <v>hibct CHAR(1) ,</v>
      </c>
    </row>
    <row r="227" spans="2:9" x14ac:dyDescent="0.25">
      <c r="B227" t="s">
        <v>246</v>
      </c>
      <c r="C227" s="2" t="s">
        <v>901</v>
      </c>
      <c r="D227" t="s">
        <v>3</v>
      </c>
      <c r="E227" t="s">
        <v>4</v>
      </c>
      <c r="G227" t="s">
        <v>641</v>
      </c>
      <c r="H227" t="s">
        <v>722</v>
      </c>
      <c r="I227" s="2" t="str">
        <f>CONCATENATE(B227," ",IF(ISBLANK(H227),D227,H227)," ", ",")</f>
        <v>ipvct CHAR(1) ,</v>
      </c>
    </row>
    <row r="228" spans="2:9" x14ac:dyDescent="0.25">
      <c r="B228" t="s">
        <v>247</v>
      </c>
      <c r="C228" s="2" t="s">
        <v>922</v>
      </c>
      <c r="D228" t="s">
        <v>3</v>
      </c>
      <c r="E228" t="s">
        <v>4</v>
      </c>
      <c r="G228" t="s">
        <v>642</v>
      </c>
      <c r="H228" t="s">
        <v>722</v>
      </c>
      <c r="I228" s="2" t="str">
        <f>CONCATENATE(B228," ",IF(ISBLANK(H228),D228,H228)," ", ",")</f>
        <v>mmrct CHAR(1) ,</v>
      </c>
    </row>
    <row r="229" spans="2:9" x14ac:dyDescent="0.25">
      <c r="B229" t="s">
        <v>248</v>
      </c>
      <c r="C229" s="2" t="s">
        <v>946</v>
      </c>
      <c r="D229" t="s">
        <v>3</v>
      </c>
      <c r="E229" t="s">
        <v>4</v>
      </c>
      <c r="G229" t="s">
        <v>637</v>
      </c>
      <c r="H229" t="s">
        <v>722</v>
      </c>
      <c r="I229" s="2" t="str">
        <f>CONCATENATE(B229," ",IF(ISBLANK(H229),D229,H229)," ", ",")</f>
        <v>pnuct CHAR(1) ,</v>
      </c>
    </row>
    <row r="230" spans="2:9" x14ac:dyDescent="0.25">
      <c r="B230" t="s">
        <v>249</v>
      </c>
      <c r="C230" s="2" t="s">
        <v>961</v>
      </c>
      <c r="D230" t="s">
        <v>3</v>
      </c>
      <c r="E230" t="s">
        <v>4</v>
      </c>
      <c r="G230" t="s">
        <v>643</v>
      </c>
      <c r="H230" t="s">
        <v>722</v>
      </c>
      <c r="I230" s="2" t="str">
        <f>CONCATENATE(B230," ",IF(ISBLANK(H230),D230,H230)," ", ",")</f>
        <v>rot2ct CHAR(1) ,</v>
      </c>
    </row>
    <row r="231" spans="2:9" x14ac:dyDescent="0.25">
      <c r="B231" t="s">
        <v>250</v>
      </c>
      <c r="C231" s="2" t="s">
        <v>962</v>
      </c>
      <c r="D231" t="s">
        <v>3</v>
      </c>
      <c r="E231" t="s">
        <v>4</v>
      </c>
      <c r="G231" t="s">
        <v>644</v>
      </c>
      <c r="H231" t="s">
        <v>722</v>
      </c>
      <c r="I231" s="2" t="str">
        <f>CONCATENATE(B231," ",IF(ISBLANK(H231),D231,H231)," ", ",")</f>
        <v>rot3ct CHAR(1) ,</v>
      </c>
    </row>
    <row r="232" spans="2:9" x14ac:dyDescent="0.25">
      <c r="B232" t="s">
        <v>251</v>
      </c>
      <c r="C232" s="2" t="s">
        <v>1041</v>
      </c>
      <c r="D232" t="s">
        <v>3</v>
      </c>
      <c r="E232" t="s">
        <v>4</v>
      </c>
      <c r="G232" t="s">
        <v>642</v>
      </c>
      <c r="H232" t="s">
        <v>722</v>
      </c>
      <c r="I232" s="2" t="str">
        <f>CONCATENATE(B232," ",IF(ISBLANK(H232),D232,H232)," ", ",")</f>
        <v>vzvct CHAR(1) ,</v>
      </c>
    </row>
    <row r="233" spans="2:9" x14ac:dyDescent="0.25">
      <c r="B233" t="s">
        <v>252</v>
      </c>
      <c r="C233" s="2" t="s">
        <v>824</v>
      </c>
      <c r="D233" t="s">
        <v>1</v>
      </c>
      <c r="E233" t="s">
        <v>4</v>
      </c>
      <c r="G233" t="s">
        <v>569</v>
      </c>
      <c r="H233" t="s">
        <v>723</v>
      </c>
      <c r="I233" s="2" t="str">
        <f>CONCATENATE(B233," ",IF(ISBLANK(H233),D233,H233)," ", ",")</f>
        <v>aspage CHAR(2) ,</v>
      </c>
    </row>
    <row r="234" spans="2:9" x14ac:dyDescent="0.25">
      <c r="B234" t="s">
        <v>253</v>
      </c>
      <c r="C234" s="2" t="s">
        <v>844</v>
      </c>
      <c r="D234" t="s">
        <v>1</v>
      </c>
      <c r="E234" t="s">
        <v>4</v>
      </c>
      <c r="G234" t="s">
        <v>627</v>
      </c>
      <c r="H234" t="s">
        <v>723</v>
      </c>
      <c r="I234" s="2" t="str">
        <f>CONCATENATE(B234," ",IF(ISBLANK(H234),D234,H234)," ", ",")</f>
        <v>curpay CHAR(2) ,</v>
      </c>
    </row>
    <row r="235" spans="2:9" x14ac:dyDescent="0.25">
      <c r="B235" t="s">
        <v>254</v>
      </c>
      <c r="C235" s="2" t="s">
        <v>845</v>
      </c>
      <c r="D235" t="s">
        <v>3</v>
      </c>
      <c r="E235" t="s">
        <v>4</v>
      </c>
      <c r="G235" t="s">
        <v>586</v>
      </c>
      <c r="H235" t="s">
        <v>722</v>
      </c>
      <c r="I235" s="2" t="str">
        <f>CONCATENATE(B235," ",IF(ISBLANK(H235),D235,H235)," ", ",")</f>
        <v>curprd CHAR(1) ,</v>
      </c>
    </row>
    <row r="236" spans="2:9" x14ac:dyDescent="0.25">
      <c r="B236" t="s">
        <v>255</v>
      </c>
      <c r="C236" s="2" t="s">
        <v>877</v>
      </c>
      <c r="D236" t="s">
        <v>3</v>
      </c>
      <c r="E236" t="s">
        <v>4</v>
      </c>
      <c r="G236" t="s">
        <v>645</v>
      </c>
      <c r="H236" t="s">
        <v>722</v>
      </c>
      <c r="I236" s="2" t="str">
        <f>CONCATENATE(B236," ",IF(ISBLANK(H236),D236,H236)," ", ",")</f>
        <v>fluflg CHAR(1) ,</v>
      </c>
    </row>
    <row r="237" spans="2:9" x14ac:dyDescent="0.25">
      <c r="B237" t="s">
        <v>256</v>
      </c>
      <c r="C237" s="2" t="s">
        <v>984</v>
      </c>
      <c r="D237" t="s">
        <v>3</v>
      </c>
      <c r="E237" t="s">
        <v>4</v>
      </c>
      <c r="G237" t="s">
        <v>586</v>
      </c>
      <c r="H237" t="s">
        <v>722</v>
      </c>
      <c r="I237" s="2" t="str">
        <f>CONCATENATE(B237," ",IF(ISBLANK(H237),D237,H237)," ", ",")</f>
        <v>ryeprd CHAR(1) ,</v>
      </c>
    </row>
    <row r="238" spans="2:9" x14ac:dyDescent="0.25">
      <c r="B238" t="s">
        <v>257</v>
      </c>
      <c r="C238" s="2" t="s">
        <v>985</v>
      </c>
      <c r="D238" t="s">
        <v>1</v>
      </c>
      <c r="E238" t="s">
        <v>4</v>
      </c>
      <c r="G238" t="s">
        <v>627</v>
      </c>
      <c r="H238" t="s">
        <v>723</v>
      </c>
      <c r="I238" s="2" t="str">
        <f>CONCATENATE(B238," ",IF(ISBLANK(H238),D238,H238)," ", ",")</f>
        <v>ryepyr CHAR(2) ,</v>
      </c>
    </row>
    <row r="239" spans="2:9" x14ac:dyDescent="0.25">
      <c r="B239" t="s">
        <v>258</v>
      </c>
      <c r="C239" s="2" t="s">
        <v>983</v>
      </c>
      <c r="D239" t="s">
        <v>3</v>
      </c>
      <c r="E239" t="s">
        <v>4</v>
      </c>
      <c r="G239" t="s">
        <v>646</v>
      </c>
      <c r="H239" t="s">
        <v>722</v>
      </c>
      <c r="I239" s="2" t="str">
        <f>CONCATENATE(B239," ",IF(ISBLANK(H239),D239,H239)," ", ",")</f>
        <v>ryepay CHAR(1) ,</v>
      </c>
    </row>
    <row r="240" spans="2:9" x14ac:dyDescent="0.25">
      <c r="B240" t="s">
        <v>259</v>
      </c>
      <c r="C240" s="2" t="s">
        <v>989</v>
      </c>
      <c r="D240" t="s">
        <v>3</v>
      </c>
      <c r="E240" t="s">
        <v>4</v>
      </c>
      <c r="G240" t="s">
        <v>645</v>
      </c>
      <c r="H240" t="s">
        <v>722</v>
      </c>
      <c r="I240" s="2" t="str">
        <f>CONCATENATE(B240," ",IF(ISBLANK(H240),D240,H240)," ", ",")</f>
        <v>spneed CHAR(1) ,</v>
      </c>
    </row>
    <row r="241" spans="2:9" x14ac:dyDescent="0.25">
      <c r="B241" t="s">
        <v>260</v>
      </c>
      <c r="C241" s="2" t="s">
        <v>978</v>
      </c>
      <c r="D241" t="s">
        <v>3</v>
      </c>
      <c r="E241" t="s">
        <v>4</v>
      </c>
      <c r="G241" t="s">
        <v>569</v>
      </c>
      <c r="H241" t="s">
        <v>722</v>
      </c>
      <c r="I241" s="2" t="str">
        <f>CONCATENATE(B241," ",IF(ISBLANK(H241),D241,H241)," ", ",")</f>
        <v>rxfnd CHAR(1) ,</v>
      </c>
    </row>
    <row r="242" spans="2:9" x14ac:dyDescent="0.25">
      <c r="B242" t="s">
        <v>261</v>
      </c>
      <c r="D242" t="s">
        <v>12</v>
      </c>
      <c r="E242" t="s">
        <v>4</v>
      </c>
      <c r="G242" t="s">
        <v>575</v>
      </c>
      <c r="H242" t="s">
        <v>718</v>
      </c>
      <c r="I242" s="2" t="str">
        <f>CONCATENATE(B242," ",IF(ISBLANK(H242),D242,H242)," ", ",")</f>
        <v>currdose SMALLINT ,</v>
      </c>
    </row>
    <row r="243" spans="2:9" x14ac:dyDescent="0.25">
      <c r="B243" t="s">
        <v>262</v>
      </c>
      <c r="D243" t="s">
        <v>12</v>
      </c>
      <c r="E243" t="s">
        <v>4</v>
      </c>
      <c r="G243" t="s">
        <v>575</v>
      </c>
      <c r="H243" t="s">
        <v>718</v>
      </c>
      <c r="I243" s="2" t="str">
        <f>CONCATENATE(B243," ",IF(ISBLANK(H243),D243,H243)," ", ",")</f>
        <v>newdose SMALLINT ,</v>
      </c>
    </row>
    <row r="244" spans="2:9" x14ac:dyDescent="0.25">
      <c r="B244" t="s">
        <v>263</v>
      </c>
      <c r="D244" t="s">
        <v>3</v>
      </c>
      <c r="E244" t="s">
        <v>4</v>
      </c>
      <c r="G244" t="s">
        <v>647</v>
      </c>
      <c r="H244" t="s">
        <v>722</v>
      </c>
      <c r="I244" s="2" t="str">
        <f>CONCATENATE(B244," ",IF(ISBLANK(H244),D244,H244)," ", ",")</f>
        <v>rxbsct CHAR(1) ,</v>
      </c>
    </row>
    <row r="245" spans="2:9" x14ac:dyDescent="0.25">
      <c r="B245" t="s">
        <v>264</v>
      </c>
      <c r="D245" t="s">
        <v>3</v>
      </c>
      <c r="E245" t="s">
        <v>4</v>
      </c>
      <c r="G245" t="s">
        <v>647</v>
      </c>
      <c r="H245" t="s">
        <v>722</v>
      </c>
      <c r="I245" s="2" t="str">
        <f>CONCATENATE(B245," ",IF(ISBLANK(H245),D245,H245)," ", ",")</f>
        <v>rxbscts CHAR(1) ,</v>
      </c>
    </row>
    <row r="246" spans="2:9" x14ac:dyDescent="0.25">
      <c r="B246" t="s">
        <v>265</v>
      </c>
      <c r="D246" t="s">
        <v>3</v>
      </c>
      <c r="E246" t="s">
        <v>4</v>
      </c>
      <c r="G246" t="s">
        <v>647</v>
      </c>
      <c r="H246" t="s">
        <v>722</v>
      </c>
      <c r="I246" s="2" t="str">
        <f>CONCATENATE(B246," ",IF(ISBLANK(H246),D246,H246)," ", ",")</f>
        <v>rxcsct CHAR(1) ,</v>
      </c>
    </row>
    <row r="247" spans="2:9" x14ac:dyDescent="0.25">
      <c r="B247" t="s">
        <v>266</v>
      </c>
      <c r="D247" t="s">
        <v>3</v>
      </c>
      <c r="E247" t="s">
        <v>4</v>
      </c>
      <c r="G247" t="s">
        <v>647</v>
      </c>
      <c r="H247" t="s">
        <v>722</v>
      </c>
      <c r="I247" s="2" t="str">
        <f>CONCATENATE(B247," ",IF(ISBLANK(H247),D247,H247)," ", ",")</f>
        <v>rxcscts CHAR(1) ,</v>
      </c>
    </row>
    <row r="248" spans="2:9" x14ac:dyDescent="0.25">
      <c r="B248" t="s">
        <v>267</v>
      </c>
      <c r="C248" s="2" t="s">
        <v>980</v>
      </c>
      <c r="D248" t="s">
        <v>268</v>
      </c>
      <c r="E248" t="s">
        <v>4</v>
      </c>
      <c r="G248" t="s">
        <v>575</v>
      </c>
      <c r="H248" t="s">
        <v>718</v>
      </c>
      <c r="I248" s="2" t="str">
        <f>CONCATENATE(B248," ",IF(ISBLANK(H248),D248,H248)," ", ",")</f>
        <v>rxsply SMALLINT ,</v>
      </c>
    </row>
    <row r="249" spans="2:9" x14ac:dyDescent="0.25">
      <c r="B249" t="s">
        <v>269</v>
      </c>
      <c r="D249" t="s">
        <v>3</v>
      </c>
      <c r="E249" t="s">
        <v>4</v>
      </c>
      <c r="G249" t="s">
        <v>575</v>
      </c>
      <c r="H249" t="s">
        <v>722</v>
      </c>
      <c r="I249" s="2" t="str">
        <f>CONCATENATE(B249," ",IF(ISBLANK(H249),D249,H249)," ", ",")</f>
        <v>rxsplys CHAR(1) ,</v>
      </c>
    </row>
    <row r="250" spans="2:9" x14ac:dyDescent="0.25">
      <c r="B250" t="s">
        <v>270</v>
      </c>
      <c r="D250" t="s">
        <v>268</v>
      </c>
      <c r="E250" t="s">
        <v>4</v>
      </c>
      <c r="G250" t="s">
        <v>575</v>
      </c>
      <c r="H250" t="s">
        <v>718</v>
      </c>
      <c r="I250" s="2" t="str">
        <f>CONCATENATE(B250," ",IF(ISBLANK(H250),D250,H250)," ", ",")</f>
        <v>total_dose_supp SMALLINT ,</v>
      </c>
    </row>
    <row r="251" spans="2:9" x14ac:dyDescent="0.25">
      <c r="B251" t="s">
        <v>271</v>
      </c>
      <c r="D251" t="s">
        <v>1</v>
      </c>
      <c r="E251" t="s">
        <v>4</v>
      </c>
      <c r="G251" t="s">
        <v>575</v>
      </c>
      <c r="H251" t="s">
        <v>727</v>
      </c>
      <c r="I251" s="2" t="str">
        <f>CONCATENATE(B251," ",IF(ISBLANK(H251),D251,H251)," ", ",")</f>
        <v>iesd_score BYTEINT ,</v>
      </c>
    </row>
    <row r="252" spans="2:9" x14ac:dyDescent="0.25">
      <c r="B252" t="s">
        <v>272</v>
      </c>
      <c r="D252" t="s">
        <v>3</v>
      </c>
      <c r="E252" t="s">
        <v>4</v>
      </c>
      <c r="G252" t="s">
        <v>575</v>
      </c>
      <c r="H252" t="s">
        <v>722</v>
      </c>
      <c r="I252" s="2" t="str">
        <f>CONCATENATE(B252," ",IF(ISBLANK(H252),D252,H252)," ", ",")</f>
        <v>rem_score CHAR(1) ,</v>
      </c>
    </row>
    <row r="253" spans="2:9" x14ac:dyDescent="0.25">
      <c r="B253" t="s">
        <v>273</v>
      </c>
      <c r="D253" t="s">
        <v>3</v>
      </c>
      <c r="E253" t="s">
        <v>4</v>
      </c>
      <c r="G253" t="s">
        <v>575</v>
      </c>
      <c r="H253" t="s">
        <v>722</v>
      </c>
      <c r="I253" s="2" t="str">
        <f>CONCATENATE(B253," ",IF(ISBLANK(H253),D253,H253)," ", ",")</f>
        <v>rep_score CHAR(1) ,</v>
      </c>
    </row>
    <row r="254" spans="2:9" x14ac:dyDescent="0.25">
      <c r="B254" t="s">
        <v>274</v>
      </c>
      <c r="D254" t="s">
        <v>3</v>
      </c>
      <c r="E254" t="s">
        <v>4</v>
      </c>
      <c r="G254" t="s">
        <v>576</v>
      </c>
      <c r="H254" t="s">
        <v>722</v>
      </c>
      <c r="I254" s="2" t="str">
        <f>CONCATENATE(B254," ",IF(ISBLANK(H254),D254,H254)," ", ",")</f>
        <v>cnt_ CHAR(1) ,</v>
      </c>
    </row>
    <row r="255" spans="2:9" x14ac:dyDescent="0.25">
      <c r="B255" t="s">
        <v>275</v>
      </c>
      <c r="C255" s="2" t="s">
        <v>1019</v>
      </c>
      <c r="D255" t="s">
        <v>1</v>
      </c>
      <c r="E255" t="s">
        <v>4</v>
      </c>
      <c r="G255" t="s">
        <v>648</v>
      </c>
      <c r="H255" t="s">
        <v>723</v>
      </c>
      <c r="I255" s="2" t="str">
        <f>CONCATENATE(B255," ",IF(ISBLANK(H255),D255,H255)," ", ",")</f>
        <v>state CHAR(2) ,</v>
      </c>
    </row>
    <row r="256" spans="2:9" x14ac:dyDescent="0.25">
      <c r="B256" t="s">
        <v>276</v>
      </c>
      <c r="D256" t="s">
        <v>231</v>
      </c>
      <c r="E256" t="s">
        <v>4</v>
      </c>
      <c r="G256" t="s">
        <v>649</v>
      </c>
      <c r="H256" s="2" t="s">
        <v>735</v>
      </c>
      <c r="I256" s="2" t="str">
        <f>CONCATENATE(B256," ",IF(ISBLANK(H256),D256,H256)," ", ",")</f>
        <v>agesex_ppv_wt NUMBER(8,6) ,</v>
      </c>
    </row>
    <row r="257" spans="2:9" x14ac:dyDescent="0.25">
      <c r="B257" t="s">
        <v>277</v>
      </c>
      <c r="D257" t="s">
        <v>278</v>
      </c>
      <c r="E257" t="s">
        <v>4</v>
      </c>
      <c r="G257" t="s">
        <v>650</v>
      </c>
      <c r="H257" s="2" t="s">
        <v>735</v>
      </c>
      <c r="I257" s="2" t="str">
        <f>CONCATENATE(B257," ",IF(ISBLANK(H257),D257,H257)," ", ",")</f>
        <v>agesex_pucv_wt NUMBER(8,6) ,</v>
      </c>
    </row>
    <row r="258" spans="2:9" x14ac:dyDescent="0.25">
      <c r="B258" t="s">
        <v>279</v>
      </c>
      <c r="C258" s="2" t="s">
        <v>825</v>
      </c>
      <c r="D258" t="s">
        <v>116</v>
      </c>
      <c r="E258" t="s">
        <v>4</v>
      </c>
      <c r="G258" t="s">
        <v>651</v>
      </c>
      <c r="H258" t="s">
        <v>726</v>
      </c>
      <c r="I258" s="2" t="str">
        <f>CONCATENATE(B258," ",IF(ISBLANK(H258),D258,H258)," ", ",")</f>
        <v>assigned_payer CHAR(3) ,</v>
      </c>
    </row>
    <row r="259" spans="2:9" x14ac:dyDescent="0.25">
      <c r="B259" t="s">
        <v>280</v>
      </c>
      <c r="D259" t="s">
        <v>231</v>
      </c>
      <c r="E259" t="s">
        <v>4</v>
      </c>
      <c r="G259" t="s">
        <v>652</v>
      </c>
      <c r="H259" t="s">
        <v>735</v>
      </c>
      <c r="I259" s="2" t="str">
        <f>CONCATENATE(B259," ",IF(ISBLANK(H259),D259,H259)," ", ",")</f>
        <v>base_ppv_wt NUMBER(8,6) ,</v>
      </c>
    </row>
    <row r="260" spans="2:9" x14ac:dyDescent="0.25">
      <c r="B260" t="s">
        <v>281</v>
      </c>
      <c r="D260" t="s">
        <v>278</v>
      </c>
      <c r="E260" t="s">
        <v>4</v>
      </c>
      <c r="G260" t="s">
        <v>653</v>
      </c>
      <c r="H260" s="2" t="s">
        <v>735</v>
      </c>
      <c r="I260" s="2" t="str">
        <f>CONCATENATE(B260," ",IF(ISBLANK(H260),D260,H260)," ", ",")</f>
        <v>base_pucv_wt NUMBER(8,6) ,</v>
      </c>
    </row>
    <row r="261" spans="2:9" x14ac:dyDescent="0.25">
      <c r="B261" t="s">
        <v>282</v>
      </c>
      <c r="D261" t="s">
        <v>48</v>
      </c>
      <c r="E261" t="s">
        <v>4</v>
      </c>
      <c r="G261" t="s">
        <v>654</v>
      </c>
      <c r="H261" t="s">
        <v>735</v>
      </c>
      <c r="I261" s="2" t="str">
        <f>CONCATENATE(B261," ",IF(ISBLANK(H261),D261,H261)," ", ",")</f>
        <v>elig_1000 NUMBER(8,6) ,</v>
      </c>
    </row>
    <row r="262" spans="2:9" x14ac:dyDescent="0.25">
      <c r="B262" t="s">
        <v>283</v>
      </c>
      <c r="D262" t="s">
        <v>3</v>
      </c>
      <c r="E262" t="s">
        <v>4</v>
      </c>
      <c r="G262" t="s">
        <v>576</v>
      </c>
      <c r="H262" t="s">
        <v>722</v>
      </c>
      <c r="I262" s="2" t="str">
        <f>CONCATENATE(B262," ",IF(ISBLANK(H262),D262,H262)," ", ",")</f>
        <v>eligible CHAR(1) ,</v>
      </c>
    </row>
    <row r="263" spans="2:9" x14ac:dyDescent="0.25">
      <c r="B263" t="s">
        <v>284</v>
      </c>
      <c r="D263" t="s">
        <v>231</v>
      </c>
      <c r="E263" t="s">
        <v>4</v>
      </c>
      <c r="G263" t="s">
        <v>655</v>
      </c>
      <c r="H263" s="2" t="s">
        <v>735</v>
      </c>
      <c r="I263" s="2" t="str">
        <f>CONCATENATE(B263," ",IF(ISBLANK(H263),D263,H263)," ", ",")</f>
        <v>exp_ed_cnt NUMBER(8,6) ,</v>
      </c>
    </row>
    <row r="264" spans="2:9" x14ac:dyDescent="0.25">
      <c r="B264" t="s">
        <v>285</v>
      </c>
      <c r="D264" t="s">
        <v>231</v>
      </c>
      <c r="E264" t="s">
        <v>4</v>
      </c>
      <c r="G264" t="s">
        <v>575</v>
      </c>
      <c r="H264" s="2" t="s">
        <v>735</v>
      </c>
      <c r="I264" s="2" t="str">
        <f>CONCATENATE(B264," ",IF(ISBLANK(H264),D264,H264)," ", ",")</f>
        <v>hcc_ppv_wt NUMBER(8,6) ,</v>
      </c>
    </row>
    <row r="265" spans="2:9" x14ac:dyDescent="0.25">
      <c r="B265" t="s">
        <v>286</v>
      </c>
      <c r="D265" t="s">
        <v>6</v>
      </c>
      <c r="E265" t="s">
        <v>4</v>
      </c>
      <c r="G265" t="s">
        <v>642</v>
      </c>
      <c r="H265" s="2" t="s">
        <v>735</v>
      </c>
      <c r="I265" s="2" t="str">
        <f>CONCATENATE(B265," ",IF(ISBLANK(H265),D265,H265)," ", ",")</f>
        <v>hcc_pucv_wt NUMBER(8,6) ,</v>
      </c>
    </row>
    <row r="266" spans="2:9" x14ac:dyDescent="0.25">
      <c r="B266" t="s">
        <v>287</v>
      </c>
      <c r="C266" s="2" t="s">
        <v>924</v>
      </c>
      <c r="D266" t="s">
        <v>1</v>
      </c>
      <c r="E266" t="s">
        <v>4</v>
      </c>
      <c r="G266" t="s">
        <v>656</v>
      </c>
      <c r="H266" t="s">
        <v>723</v>
      </c>
      <c r="I266" s="2" t="str">
        <f>CONCATENATE(B266," ",IF(ISBLANK(H266),D266,H266)," ", ",")</f>
        <v>mpayer CHAR(2) ,</v>
      </c>
    </row>
    <row r="267" spans="2:9" x14ac:dyDescent="0.25">
      <c r="B267" t="s">
        <v>288</v>
      </c>
      <c r="D267" t="s">
        <v>1</v>
      </c>
      <c r="E267" t="s">
        <v>4</v>
      </c>
      <c r="G267" t="s">
        <v>577</v>
      </c>
      <c r="H267" t="s">
        <v>722</v>
      </c>
      <c r="I267" s="2" t="str">
        <f>CONCATENATE(B267," ",IF(ISBLANK(H267),D267,H267)," ", ",")</f>
        <v>obs_ed_cnt CHAR(1) ,</v>
      </c>
    </row>
    <row r="268" spans="2:9" x14ac:dyDescent="0.25">
      <c r="B268" t="s">
        <v>289</v>
      </c>
      <c r="D268" t="s">
        <v>6</v>
      </c>
      <c r="E268" t="s">
        <v>4</v>
      </c>
      <c r="G268" t="s">
        <v>657</v>
      </c>
      <c r="H268" s="2" t="s">
        <v>735</v>
      </c>
      <c r="I268" s="2" t="str">
        <f>CONCATENATE(B268," ",IF(ISBLANK(H268),D268,H268)," ", ",")</f>
        <v>ppv NUMBER(8,6) ,</v>
      </c>
    </row>
    <row r="269" spans="2:9" x14ac:dyDescent="0.25">
      <c r="B269" t="s">
        <v>290</v>
      </c>
      <c r="D269" t="s">
        <v>231</v>
      </c>
      <c r="E269" t="s">
        <v>4</v>
      </c>
      <c r="G269" t="s">
        <v>658</v>
      </c>
      <c r="H269" s="2" t="s">
        <v>735</v>
      </c>
      <c r="I269" s="2" t="str">
        <f>CONCATENATE(B269," ",IF(ISBLANK(H269),D269,H269)," ", ",")</f>
        <v>ppv_wt NUMBER(8,6) ,</v>
      </c>
    </row>
    <row r="270" spans="2:9" x14ac:dyDescent="0.25">
      <c r="B270" t="s">
        <v>291</v>
      </c>
      <c r="D270" t="s">
        <v>83</v>
      </c>
      <c r="E270" t="s">
        <v>4</v>
      </c>
      <c r="G270" t="s">
        <v>659</v>
      </c>
      <c r="H270" t="s">
        <v>728</v>
      </c>
      <c r="I270" s="2" t="str">
        <f>CONCATENATE(B270," ",IF(ISBLANK(H270),D270,H270)," ", ",")</f>
        <v>pucv FLOAT ,</v>
      </c>
    </row>
    <row r="271" spans="2:9" x14ac:dyDescent="0.25">
      <c r="B271" t="s">
        <v>292</v>
      </c>
      <c r="D271" t="s">
        <v>83</v>
      </c>
      <c r="E271" t="s">
        <v>4</v>
      </c>
      <c r="G271" t="s">
        <v>659</v>
      </c>
      <c r="H271" t="s">
        <v>728</v>
      </c>
      <c r="I271" s="2" t="str">
        <f>CONCATENATE(B271," ",IF(ISBLANK(H271),D271,H271)," ", ",")</f>
        <v>pucv_wt FLOAT ,</v>
      </c>
    </row>
    <row r="272" spans="2:9" x14ac:dyDescent="0.25">
      <c r="B272" t="s">
        <v>293</v>
      </c>
      <c r="D272" t="s">
        <v>3</v>
      </c>
      <c r="E272" t="s">
        <v>4</v>
      </c>
      <c r="G272" t="s">
        <v>575</v>
      </c>
      <c r="H272" t="s">
        <v>722</v>
      </c>
      <c r="I272" s="2" t="str">
        <f>CONCATENATE(B272," ",IF(ISBLANK(H272),D272,H272)," ", ",")</f>
        <v>supp_ed_cnt CHAR(1) ,</v>
      </c>
    </row>
    <row r="273" spans="2:9" x14ac:dyDescent="0.25">
      <c r="B273" t="s">
        <v>294</v>
      </c>
      <c r="C273" s="2" t="s">
        <v>1037</v>
      </c>
      <c r="D273" t="s">
        <v>15</v>
      </c>
      <c r="E273" t="s">
        <v>4</v>
      </c>
      <c r="G273" t="s">
        <v>660</v>
      </c>
      <c r="H273" t="s">
        <v>721</v>
      </c>
      <c r="I273" s="2" t="str">
        <f>CONCATENATE(B273," ",IF(ISBLANK(H273),D273,H273)," ", ",")</f>
        <v>tpbeg TIMESTAMP ,</v>
      </c>
    </row>
    <row r="274" spans="2:9" x14ac:dyDescent="0.25">
      <c r="B274" t="s">
        <v>295</v>
      </c>
      <c r="C274" s="2" t="s">
        <v>1038</v>
      </c>
      <c r="D274" t="s">
        <v>15</v>
      </c>
      <c r="E274" t="s">
        <v>4</v>
      </c>
      <c r="G274" t="s">
        <v>661</v>
      </c>
      <c r="H274" t="s">
        <v>721</v>
      </c>
      <c r="I274" s="2" t="str">
        <f>CONCATENATE(B274," ",IF(ISBLANK(H274),D274,H274)," ", ",")</f>
        <v>tpend TIMESTAMP ,</v>
      </c>
    </row>
    <row r="275" spans="2:9" x14ac:dyDescent="0.25">
      <c r="B275" t="s">
        <v>296</v>
      </c>
      <c r="C275" s="2" t="s">
        <v>869</v>
      </c>
      <c r="D275" t="s">
        <v>3</v>
      </c>
      <c r="E275" t="s">
        <v>4</v>
      </c>
      <c r="G275" t="s">
        <v>576</v>
      </c>
      <c r="H275" t="s">
        <v>722</v>
      </c>
      <c r="I275" s="2" t="str">
        <f>CONCATENATE(B275," ",IF(ISBLANK(H275),D275,H275)," ", ",")</f>
        <v>enrlcnt CHAR(1) ,</v>
      </c>
    </row>
    <row r="276" spans="2:9" x14ac:dyDescent="0.25">
      <c r="B276" t="s">
        <v>297</v>
      </c>
      <c r="C276" s="2" t="s">
        <v>850</v>
      </c>
      <c r="D276" t="s">
        <v>298</v>
      </c>
      <c r="E276" t="s">
        <v>4</v>
      </c>
      <c r="F276" s="2">
        <v>19</v>
      </c>
      <c r="G276" t="s">
        <v>569</v>
      </c>
      <c r="H276" s="2" t="s">
        <v>721</v>
      </c>
      <c r="I276" s="2" t="str">
        <f>CONCATENATE(B276," ",IF(ISBLANK(H276),D276,H276)," ", ",")</f>
        <v>date5 TIMESTAMP ,</v>
      </c>
    </row>
    <row r="277" spans="2:9" x14ac:dyDescent="0.25">
      <c r="B277" t="s">
        <v>299</v>
      </c>
      <c r="C277" s="2" t="s">
        <v>870</v>
      </c>
      <c r="D277" t="s">
        <v>298</v>
      </c>
      <c r="E277" t="s">
        <v>4</v>
      </c>
      <c r="F277" s="2">
        <v>2</v>
      </c>
      <c r="G277" t="s">
        <v>662</v>
      </c>
      <c r="H277" t="s">
        <v>718</v>
      </c>
      <c r="I277" s="2" t="str">
        <f>CONCATENATE(B277," ",IF(ISBLANK(H277),D277,H277)," ", ",")</f>
        <v>epcvct SMALLINT ,</v>
      </c>
    </row>
    <row r="278" spans="2:9" x14ac:dyDescent="0.25">
      <c r="B278" t="s">
        <v>300</v>
      </c>
      <c r="C278" s="2" t="s">
        <v>767</v>
      </c>
      <c r="D278" t="s">
        <v>298</v>
      </c>
      <c r="E278" t="s">
        <v>4</v>
      </c>
      <c r="F278" s="2">
        <v>19</v>
      </c>
      <c r="G278" t="s">
        <v>569</v>
      </c>
      <c r="H278" s="2" t="s">
        <v>721</v>
      </c>
      <c r="I278" s="2" t="str">
        <f>CONCATENATE(B278," ",IF(ISBLANK(H278),D278,H278)," ", ",")</f>
        <v>linkdt TIMESTAMP ,</v>
      </c>
    </row>
    <row r="279" spans="2:9" x14ac:dyDescent="0.25">
      <c r="B279" t="s">
        <v>301</v>
      </c>
      <c r="C279" s="2" t="s">
        <v>934</v>
      </c>
      <c r="D279" t="s">
        <v>298</v>
      </c>
      <c r="E279" t="s">
        <v>4</v>
      </c>
      <c r="F279" s="2">
        <v>1</v>
      </c>
      <c r="G279" t="s">
        <v>575</v>
      </c>
      <c r="H279" t="s">
        <v>722</v>
      </c>
      <c r="I279" s="2" t="str">
        <f>CONCATENATE(B279," ",IF(ISBLANK(H279),D279,H279)," ", ",")</f>
        <v>num1 CHAR(1) ,</v>
      </c>
    </row>
    <row r="280" spans="2:9" x14ac:dyDescent="0.25">
      <c r="B280" t="s">
        <v>302</v>
      </c>
      <c r="C280" s="2" t="s">
        <v>945</v>
      </c>
      <c r="D280" t="s">
        <v>298</v>
      </c>
      <c r="E280" t="s">
        <v>4</v>
      </c>
      <c r="F280" s="2">
        <v>2</v>
      </c>
      <c r="G280" t="s">
        <v>569</v>
      </c>
      <c r="H280" s="2" t="s">
        <v>718</v>
      </c>
      <c r="I280" s="2" t="str">
        <f>CONCATENATE(B280," ",IF(ISBLANK(H280),D280,H280)," ", ",")</f>
        <v>pncvct SMALLINT ,</v>
      </c>
    </row>
    <row r="281" spans="2:9" x14ac:dyDescent="0.25">
      <c r="B281" t="s">
        <v>303</v>
      </c>
      <c r="C281" s="2" t="s">
        <v>1040</v>
      </c>
      <c r="D281" t="s">
        <v>298</v>
      </c>
      <c r="E281" t="s">
        <v>4</v>
      </c>
      <c r="F281" s="2">
        <v>8</v>
      </c>
      <c r="G281" t="s">
        <v>569</v>
      </c>
      <c r="H281" s="2" t="s">
        <v>735</v>
      </c>
      <c r="I281" s="2" t="str">
        <f>CONCATENATE(B281," ",IF(ISBLANK(H281),D281,H281)," ", ",")</f>
        <v>vstrat NUMBER(8,6) ,</v>
      </c>
    </row>
    <row r="282" spans="2:9" x14ac:dyDescent="0.25">
      <c r="B282" t="s">
        <v>304</v>
      </c>
      <c r="C282" s="2" t="s">
        <v>816</v>
      </c>
      <c r="D282" t="s">
        <v>298</v>
      </c>
      <c r="E282" t="s">
        <v>4</v>
      </c>
      <c r="F282" s="2">
        <v>19</v>
      </c>
      <c r="G282" t="s">
        <v>572</v>
      </c>
      <c r="H282" s="2" t="s">
        <v>721</v>
      </c>
      <c r="I282" s="2" t="str">
        <f>CONCATENATE(B282," ",IF(ISBLANK(H282),D282,H282)," ", ",")</f>
        <v>adm_dt TIMESTAMP ,</v>
      </c>
    </row>
    <row r="283" spans="2:9" x14ac:dyDescent="0.25">
      <c r="B283" t="s">
        <v>305</v>
      </c>
      <c r="C283" s="2" t="s">
        <v>860</v>
      </c>
      <c r="D283" t="s">
        <v>298</v>
      </c>
      <c r="E283" t="s">
        <v>4</v>
      </c>
      <c r="F283" s="2">
        <v>19</v>
      </c>
      <c r="G283" t="s">
        <v>572</v>
      </c>
      <c r="H283" s="2" t="s">
        <v>721</v>
      </c>
      <c r="I283" s="2" t="str">
        <f>CONCATENATE(B283," ",IF(ISBLANK(H283),D283,H283)," ", ",")</f>
        <v>dis_dt TIMESTAMP ,</v>
      </c>
    </row>
    <row r="284" spans="2:9" x14ac:dyDescent="0.25">
      <c r="B284" t="s">
        <v>306</v>
      </c>
      <c r="D284" t="s">
        <v>298</v>
      </c>
      <c r="E284" t="s">
        <v>4</v>
      </c>
      <c r="F284" s="2">
        <v>1</v>
      </c>
      <c r="G284" t="s">
        <v>575</v>
      </c>
      <c r="H284" s="2" t="s">
        <v>722</v>
      </c>
      <c r="I284" s="2" t="str">
        <f>CONCATENATE(B284," ",IF(ISBLANK(H284),D284,H284)," ", ",")</f>
        <v>ph1 CHAR(1) ,</v>
      </c>
    </row>
    <row r="285" spans="2:9" x14ac:dyDescent="0.25">
      <c r="B285" t="s">
        <v>307</v>
      </c>
      <c r="D285" t="s">
        <v>298</v>
      </c>
      <c r="E285" t="s">
        <v>4</v>
      </c>
      <c r="F285" s="2">
        <v>1</v>
      </c>
      <c r="G285" t="s">
        <v>575</v>
      </c>
      <c r="H285" s="2" t="s">
        <v>722</v>
      </c>
      <c r="I285" s="2" t="str">
        <f>CONCATENATE(B285," ",IF(ISBLANK(H285),D285,H285)," ", ",")</f>
        <v>ph2 CHAR(1) ,</v>
      </c>
    </row>
    <row r="286" spans="2:9" x14ac:dyDescent="0.25">
      <c r="B286" t="s">
        <v>308</v>
      </c>
      <c r="D286" t="s">
        <v>298</v>
      </c>
      <c r="E286" t="s">
        <v>4</v>
      </c>
      <c r="F286" s="2">
        <v>1</v>
      </c>
      <c r="G286" t="s">
        <v>575</v>
      </c>
      <c r="H286" s="2" t="s">
        <v>722</v>
      </c>
      <c r="I286" s="2" t="str">
        <f>CONCATENATE(B286," ",IF(ISBLANK(H286),D286,H286)," ", ",")</f>
        <v>ph3 CHAR(1) ,</v>
      </c>
    </row>
    <row r="287" spans="2:9" x14ac:dyDescent="0.25">
      <c r="B287" t="s">
        <v>309</v>
      </c>
      <c r="D287" t="s">
        <v>298</v>
      </c>
      <c r="E287" t="s">
        <v>4</v>
      </c>
      <c r="F287" s="2">
        <v>1</v>
      </c>
      <c r="G287" t="s">
        <v>575</v>
      </c>
      <c r="H287" s="2" t="s">
        <v>722</v>
      </c>
      <c r="I287" s="2" t="str">
        <f>CONCATENATE(B287," ",IF(ISBLANK(H287),D287,H287)," ", ",")</f>
        <v>ph4 CHAR(1) ,</v>
      </c>
    </row>
    <row r="288" spans="2:9" x14ac:dyDescent="0.25">
      <c r="B288" t="s">
        <v>310</v>
      </c>
      <c r="D288" t="s">
        <v>298</v>
      </c>
      <c r="E288" t="s">
        <v>4</v>
      </c>
      <c r="F288" s="2">
        <v>1</v>
      </c>
      <c r="G288" t="s">
        <v>575</v>
      </c>
      <c r="H288" s="2" t="s">
        <v>722</v>
      </c>
      <c r="I288" s="2" t="str">
        <f>CONCATENATE(B288," ",IF(ISBLANK(H288),D288,H288)," ", ",")</f>
        <v>ph5 CHAR(1) ,</v>
      </c>
    </row>
    <row r="289" spans="2:9" x14ac:dyDescent="0.25">
      <c r="B289" t="s">
        <v>311</v>
      </c>
      <c r="D289" t="s">
        <v>298</v>
      </c>
      <c r="E289" t="s">
        <v>4</v>
      </c>
      <c r="F289" s="2">
        <v>1</v>
      </c>
      <c r="G289" t="s">
        <v>575</v>
      </c>
      <c r="H289" s="2" t="s">
        <v>722</v>
      </c>
      <c r="I289" s="2" t="str">
        <f>CONCATENATE(B289," ",IF(ISBLANK(H289),D289,H289)," ", ",")</f>
        <v>ph6 CHAR(1) ,</v>
      </c>
    </row>
    <row r="290" spans="2:9" x14ac:dyDescent="0.25">
      <c r="B290" t="s">
        <v>312</v>
      </c>
      <c r="D290" t="s">
        <v>298</v>
      </c>
      <c r="E290" t="s">
        <v>4</v>
      </c>
      <c r="F290" s="2">
        <v>7</v>
      </c>
      <c r="G290" t="s">
        <v>569</v>
      </c>
      <c r="H290" s="2" t="s">
        <v>231</v>
      </c>
      <c r="I290" s="2" t="str">
        <f>CONCATENATE(B290," ",IF(ISBLANK(H290),D290,H290)," ", ",")</f>
        <v>provid VARCHAR(7) ,</v>
      </c>
    </row>
    <row r="291" spans="2:9" x14ac:dyDescent="0.25">
      <c r="B291" t="s">
        <v>313</v>
      </c>
      <c r="D291" t="s">
        <v>298</v>
      </c>
      <c r="E291" t="s">
        <v>4</v>
      </c>
      <c r="F291" s="2">
        <v>1</v>
      </c>
      <c r="G291" t="s">
        <v>575</v>
      </c>
      <c r="H291" s="2" t="s">
        <v>722</v>
      </c>
      <c r="I291" s="2" t="str">
        <f>CONCATENATE(B291," ",IF(ISBLANK(H291),D291,H291)," ", ",")</f>
        <v>acsc_acute CHAR(1) ,</v>
      </c>
    </row>
    <row r="292" spans="2:9" x14ac:dyDescent="0.25">
      <c r="B292" t="s">
        <v>314</v>
      </c>
      <c r="D292" t="s">
        <v>298</v>
      </c>
      <c r="E292" t="s">
        <v>4</v>
      </c>
      <c r="F292" s="2">
        <v>2</v>
      </c>
      <c r="G292" t="s">
        <v>575</v>
      </c>
      <c r="H292" s="2" t="s">
        <v>718</v>
      </c>
      <c r="I292" s="2" t="str">
        <f>CONCATENATE(B292," ",IF(ISBLANK(H292),D292,H292)," ", ",")</f>
        <v>acsc_chronic SMALLINT ,</v>
      </c>
    </row>
    <row r="293" spans="2:9" x14ac:dyDescent="0.25">
      <c r="B293" t="s">
        <v>315</v>
      </c>
      <c r="D293" t="s">
        <v>298</v>
      </c>
      <c r="E293" t="s">
        <v>4</v>
      </c>
      <c r="F293" s="2">
        <v>2</v>
      </c>
      <c r="G293" t="s">
        <v>575</v>
      </c>
      <c r="H293" s="2" t="s">
        <v>718</v>
      </c>
      <c r="I293" s="2" t="str">
        <f>CONCATENATE(B293," ",IF(ISBLANK(H293),D293,H293)," ", ",")</f>
        <v>acsc_total SMALLINT ,</v>
      </c>
    </row>
    <row r="294" spans="2:9" x14ac:dyDescent="0.25">
      <c r="B294" t="s">
        <v>316</v>
      </c>
      <c r="D294" t="s">
        <v>298</v>
      </c>
      <c r="E294" t="s">
        <v>4</v>
      </c>
      <c r="F294" s="2">
        <v>6</v>
      </c>
      <c r="G294" t="s">
        <v>569</v>
      </c>
      <c r="H294" t="s">
        <v>735</v>
      </c>
      <c r="I294" s="2" t="str">
        <f>CONCATENATE(B294," ",IF(ISBLANK(H294),D294,H294)," ", ",")</f>
        <v>acute_agesex_ppd NUMBER(8,6) ,</v>
      </c>
    </row>
    <row r="295" spans="2:9" x14ac:dyDescent="0.25">
      <c r="B295" t="s">
        <v>317</v>
      </c>
      <c r="D295" t="s">
        <v>298</v>
      </c>
      <c r="E295" t="s">
        <v>4</v>
      </c>
      <c r="F295" s="2">
        <v>6</v>
      </c>
      <c r="G295" t="s">
        <v>569</v>
      </c>
      <c r="H295" s="2" t="s">
        <v>735</v>
      </c>
      <c r="I295" s="2" t="str">
        <f>CONCATENATE(B295," ",IF(ISBLANK(H295),D295,H295)," ", ",")</f>
        <v>acute_agesex_pucd NUMBER(8,6) ,</v>
      </c>
    </row>
    <row r="296" spans="2:9" x14ac:dyDescent="0.25">
      <c r="B296" t="s">
        <v>318</v>
      </c>
      <c r="D296" t="s">
        <v>298</v>
      </c>
      <c r="E296" t="s">
        <v>4</v>
      </c>
      <c r="F296" s="2">
        <v>6</v>
      </c>
      <c r="G296" t="s">
        <v>575</v>
      </c>
      <c r="H296" s="2" t="s">
        <v>735</v>
      </c>
      <c r="I296" s="2" t="str">
        <f>CONCATENATE(B296," ",IF(ISBLANK(H296),D296,H296)," ", ",")</f>
        <v>acute_hcc_ppd NUMBER(8,6) ,</v>
      </c>
    </row>
    <row r="297" spans="2:9" x14ac:dyDescent="0.25">
      <c r="B297" t="s">
        <v>319</v>
      </c>
      <c r="D297" t="s">
        <v>298</v>
      </c>
      <c r="E297" t="s">
        <v>4</v>
      </c>
      <c r="F297" s="2">
        <v>8</v>
      </c>
      <c r="G297" t="s">
        <v>576</v>
      </c>
      <c r="H297" s="2" t="s">
        <v>735</v>
      </c>
      <c r="I297" s="2" t="str">
        <f>CONCATENATE(B297," ",IF(ISBLANK(H297),D297,H297)," ", ",")</f>
        <v>acute_hcc_pucd NUMBER(8,6) ,</v>
      </c>
    </row>
    <row r="298" spans="2:9" x14ac:dyDescent="0.25">
      <c r="B298" t="s">
        <v>320</v>
      </c>
      <c r="D298" t="s">
        <v>298</v>
      </c>
      <c r="E298" t="s">
        <v>4</v>
      </c>
      <c r="F298" s="2">
        <v>1</v>
      </c>
      <c r="G298" t="s">
        <v>575</v>
      </c>
      <c r="H298" s="2" t="s">
        <v>722</v>
      </c>
      <c r="I298" s="2" t="str">
        <f>CONCATENATE(B298," ",IF(ISBLANK(H298),D298,H298)," ", ",")</f>
        <v>agesex_ppd_wt CHAR(1) ,</v>
      </c>
    </row>
    <row r="299" spans="2:9" x14ac:dyDescent="0.25">
      <c r="B299" t="s">
        <v>321</v>
      </c>
      <c r="D299" t="s">
        <v>298</v>
      </c>
      <c r="E299" t="s">
        <v>4</v>
      </c>
      <c r="F299" s="2">
        <v>1</v>
      </c>
      <c r="G299" t="s">
        <v>575</v>
      </c>
      <c r="H299" s="2" t="s">
        <v>722</v>
      </c>
      <c r="I299" s="2" t="str">
        <f>CONCATENATE(B299," ",IF(ISBLANK(H299),D299,H299)," ", ",")</f>
        <v>agesex_pucd_wt CHAR(1) ,</v>
      </c>
    </row>
    <row r="300" spans="2:9" x14ac:dyDescent="0.25">
      <c r="B300" t="s">
        <v>322</v>
      </c>
      <c r="D300" t="s">
        <v>298</v>
      </c>
      <c r="E300" t="s">
        <v>4</v>
      </c>
      <c r="F300" s="2">
        <v>7</v>
      </c>
      <c r="G300" t="s">
        <v>663</v>
      </c>
      <c r="H300" s="2" t="s">
        <v>735</v>
      </c>
      <c r="I300" s="2" t="str">
        <f>CONCATENATE(B300," ",IF(ISBLANK(H300),D300,H300)," ", ",")</f>
        <v>base_acute_ppd_wt NUMBER(8,6) ,</v>
      </c>
    </row>
    <row r="301" spans="2:9" x14ac:dyDescent="0.25">
      <c r="B301" t="s">
        <v>323</v>
      </c>
      <c r="D301" t="s">
        <v>298</v>
      </c>
      <c r="E301" t="s">
        <v>4</v>
      </c>
      <c r="F301" s="2">
        <v>6</v>
      </c>
      <c r="G301" t="s">
        <v>664</v>
      </c>
      <c r="H301" s="2" t="s">
        <v>735</v>
      </c>
      <c r="I301" s="2" t="str">
        <f>CONCATENATE(B301," ",IF(ISBLANK(H301),D301,H301)," ", ",")</f>
        <v>base_acute_pucd_wt NUMBER(8,6) ,</v>
      </c>
    </row>
    <row r="302" spans="2:9" x14ac:dyDescent="0.25">
      <c r="B302" t="s">
        <v>324</v>
      </c>
      <c r="D302" t="s">
        <v>298</v>
      </c>
      <c r="E302" t="s">
        <v>4</v>
      </c>
      <c r="F302" s="2">
        <v>7</v>
      </c>
      <c r="G302" t="s">
        <v>665</v>
      </c>
      <c r="H302" s="2" t="s">
        <v>735</v>
      </c>
      <c r="I302" s="2" t="str">
        <f>CONCATENATE(B302," ",IF(ISBLANK(H302),D302,H302)," ", ",")</f>
        <v>base_chronic_ppd_wt NUMBER(8,6) ,</v>
      </c>
    </row>
    <row r="303" spans="2:9" x14ac:dyDescent="0.25">
      <c r="B303" t="s">
        <v>325</v>
      </c>
      <c r="D303" t="s">
        <v>298</v>
      </c>
      <c r="E303" t="s">
        <v>4</v>
      </c>
      <c r="F303" s="2">
        <v>6</v>
      </c>
      <c r="G303" t="s">
        <v>666</v>
      </c>
      <c r="H303" s="2" t="s">
        <v>735</v>
      </c>
      <c r="I303" s="2" t="str">
        <f>CONCATENATE(B303," ",IF(ISBLANK(H303),D303,H303)," ", ",")</f>
        <v>base_chronic_pucd_wt NUMBER(8,6) ,</v>
      </c>
    </row>
    <row r="304" spans="2:9" x14ac:dyDescent="0.25">
      <c r="B304" t="s">
        <v>326</v>
      </c>
      <c r="D304" t="s">
        <v>298</v>
      </c>
      <c r="E304" t="s">
        <v>4</v>
      </c>
      <c r="F304" s="2">
        <v>7</v>
      </c>
      <c r="G304" t="s">
        <v>667</v>
      </c>
      <c r="H304" s="2" t="s">
        <v>735</v>
      </c>
      <c r="I304" s="2" t="str">
        <f>CONCATENATE(B304," ",IF(ISBLANK(H304),D304,H304)," ", ",")</f>
        <v>base_tot_ppd_wt NUMBER(8,6) ,</v>
      </c>
    </row>
    <row r="305" spans="2:9" x14ac:dyDescent="0.25">
      <c r="B305" t="s">
        <v>327</v>
      </c>
      <c r="D305" t="s">
        <v>298</v>
      </c>
      <c r="E305" t="s">
        <v>4</v>
      </c>
      <c r="F305" s="2">
        <v>6</v>
      </c>
      <c r="G305" t="s">
        <v>668</v>
      </c>
      <c r="H305" s="2" t="s">
        <v>735</v>
      </c>
      <c r="I305" s="2" t="str">
        <f>CONCATENATE(B305," ",IF(ISBLANK(H305),D305,H305)," ", ",")</f>
        <v>base_tot_pucd_wt NUMBER(8,6) ,</v>
      </c>
    </row>
    <row r="306" spans="2:9" x14ac:dyDescent="0.25">
      <c r="B306" t="s">
        <v>328</v>
      </c>
      <c r="D306" t="s">
        <v>298</v>
      </c>
      <c r="E306" t="s">
        <v>4</v>
      </c>
      <c r="F306" s="2">
        <v>6</v>
      </c>
      <c r="G306" t="s">
        <v>569</v>
      </c>
      <c r="H306" s="2" t="s">
        <v>735</v>
      </c>
      <c r="I306" s="2" t="str">
        <f>CONCATENATE(B306," ",IF(ISBLANK(H306),D306,H306)," ", ",")</f>
        <v>chronic_agesex_ppd NUMBER(8,6) ,</v>
      </c>
    </row>
    <row r="307" spans="2:9" x14ac:dyDescent="0.25">
      <c r="B307" t="s">
        <v>329</v>
      </c>
      <c r="D307" t="s">
        <v>298</v>
      </c>
      <c r="E307" t="s">
        <v>4</v>
      </c>
      <c r="F307" s="2">
        <v>6</v>
      </c>
      <c r="G307" t="s">
        <v>569</v>
      </c>
      <c r="H307" s="2" t="s">
        <v>735</v>
      </c>
      <c r="I307" s="2" t="str">
        <f>CONCATENATE(B307," ",IF(ISBLANK(H307),D307,H307)," ", ",")</f>
        <v>chronic_agesex_pucd NUMBER(8,6) ,</v>
      </c>
    </row>
    <row r="308" spans="2:9" x14ac:dyDescent="0.25">
      <c r="B308" t="s">
        <v>330</v>
      </c>
      <c r="D308" t="s">
        <v>298</v>
      </c>
      <c r="E308" t="s">
        <v>4</v>
      </c>
      <c r="F308" s="2">
        <v>6</v>
      </c>
      <c r="G308" t="s">
        <v>575</v>
      </c>
      <c r="H308" s="2" t="s">
        <v>735</v>
      </c>
      <c r="I308" s="2" t="str">
        <f>CONCATENATE(B308," ",IF(ISBLANK(H308),D308,H308)," ", ",")</f>
        <v>chronic_hcc_ppd NUMBER(8,6) ,</v>
      </c>
    </row>
    <row r="309" spans="2:9" x14ac:dyDescent="0.25">
      <c r="B309" t="s">
        <v>331</v>
      </c>
      <c r="D309" t="s">
        <v>298</v>
      </c>
      <c r="E309" t="s">
        <v>4</v>
      </c>
      <c r="F309" s="2">
        <v>8</v>
      </c>
      <c r="G309" t="s">
        <v>576</v>
      </c>
      <c r="H309" s="2" t="s">
        <v>735</v>
      </c>
      <c r="I309" s="2" t="str">
        <f>CONCATENATE(B309," ",IF(ISBLANK(H309),D309,H309)," ", ",")</f>
        <v>chronic_hcc_pucd NUMBER(8,6) ,</v>
      </c>
    </row>
    <row r="310" spans="2:9" x14ac:dyDescent="0.25">
      <c r="B310" t="s">
        <v>332</v>
      </c>
      <c r="D310" t="s">
        <v>298</v>
      </c>
      <c r="E310" t="s">
        <v>4</v>
      </c>
      <c r="F310" s="2">
        <v>6</v>
      </c>
      <c r="G310" t="s">
        <v>569</v>
      </c>
      <c r="H310" s="2" t="s">
        <v>735</v>
      </c>
      <c r="I310" s="2" t="str">
        <f>CONCATENATE(B310," ",IF(ISBLANK(H310),D310,H310)," ", ",")</f>
        <v>exp_hosp_cnt NUMBER(8,6) ,</v>
      </c>
    </row>
    <row r="311" spans="2:9" x14ac:dyDescent="0.25">
      <c r="B311" t="s">
        <v>333</v>
      </c>
      <c r="C311" s="2" t="s">
        <v>890</v>
      </c>
      <c r="D311" t="s">
        <v>298</v>
      </c>
      <c r="E311" t="s">
        <v>4</v>
      </c>
      <c r="F311" s="2">
        <v>19</v>
      </c>
      <c r="G311" t="s">
        <v>572</v>
      </c>
      <c r="H311" s="2" t="s">
        <v>721</v>
      </c>
      <c r="I311" s="2" t="str">
        <f>CONCATENATE(B311," ",IF(ISBLANK(H311),D311,H311)," ", ",")</f>
        <v>index_admit_dt TIMESTAMP ,</v>
      </c>
    </row>
    <row r="312" spans="2:9" x14ac:dyDescent="0.25">
      <c r="B312" t="s">
        <v>334</v>
      </c>
      <c r="C312" s="2" t="s">
        <v>891</v>
      </c>
      <c r="D312" t="s">
        <v>298</v>
      </c>
      <c r="E312" t="s">
        <v>4</v>
      </c>
      <c r="F312" s="2">
        <v>19</v>
      </c>
      <c r="G312" t="s">
        <v>572</v>
      </c>
      <c r="H312" s="2" t="s">
        <v>721</v>
      </c>
      <c r="I312" s="2" t="str">
        <f>CONCATENATE(B312," ",IF(ISBLANK(H312),D312,H312)," ", ",")</f>
        <v>index_disch_dt TIMESTAMP ,</v>
      </c>
    </row>
    <row r="313" spans="2:9" x14ac:dyDescent="0.25">
      <c r="B313" t="s">
        <v>335</v>
      </c>
      <c r="D313" t="s">
        <v>298</v>
      </c>
      <c r="E313" t="s">
        <v>4</v>
      </c>
      <c r="F313" s="2">
        <v>2</v>
      </c>
      <c r="G313" t="s">
        <v>575</v>
      </c>
      <c r="H313" s="2" t="s">
        <v>718</v>
      </c>
      <c r="I313" s="2" t="str">
        <f>CONCATENATE(B313," ",IF(ISBLANK(H313),D313,H313)," ", ",")</f>
        <v>obs_hosp_cnt SMALLINT ,</v>
      </c>
    </row>
    <row r="314" spans="2:9" x14ac:dyDescent="0.25">
      <c r="B314" t="s">
        <v>336</v>
      </c>
      <c r="D314" t="s">
        <v>298</v>
      </c>
      <c r="E314" t="s">
        <v>4</v>
      </c>
      <c r="F314" s="2">
        <v>8</v>
      </c>
      <c r="G314" t="s">
        <v>575</v>
      </c>
      <c r="H314" s="2" t="s">
        <v>735</v>
      </c>
      <c r="I314" s="2" t="str">
        <f>CONCATENATE(B314," ",IF(ISBLANK(H314),D314,H314)," ", ",")</f>
        <v>ppd_acute NUMBER(8,6) ,</v>
      </c>
    </row>
    <row r="315" spans="2:9" x14ac:dyDescent="0.25">
      <c r="B315" t="s">
        <v>337</v>
      </c>
      <c r="D315" t="s">
        <v>298</v>
      </c>
      <c r="E315" t="s">
        <v>4</v>
      </c>
      <c r="F315" s="2">
        <v>8</v>
      </c>
      <c r="G315" t="s">
        <v>569</v>
      </c>
      <c r="H315" s="2" t="s">
        <v>735</v>
      </c>
      <c r="I315" s="2" t="str">
        <f>CONCATENATE(B315," ",IF(ISBLANK(H315),D315,H315)," ", ",")</f>
        <v>ppd_chronic NUMBER(8,6) ,</v>
      </c>
    </row>
    <row r="316" spans="2:9" x14ac:dyDescent="0.25">
      <c r="B316" t="s">
        <v>338</v>
      </c>
      <c r="D316" t="s">
        <v>298</v>
      </c>
      <c r="E316" t="s">
        <v>4</v>
      </c>
      <c r="F316" s="2">
        <v>8</v>
      </c>
      <c r="G316" t="s">
        <v>575</v>
      </c>
      <c r="H316" s="2" t="s">
        <v>735</v>
      </c>
      <c r="I316" s="2" t="str">
        <f>CONCATENATE(B316," ",IF(ISBLANK(H316),D316,H316)," ", ",")</f>
        <v>ppd_total NUMBER(8,6) ,</v>
      </c>
    </row>
    <row r="317" spans="2:9" x14ac:dyDescent="0.25">
      <c r="B317" t="s">
        <v>339</v>
      </c>
      <c r="D317" t="s">
        <v>298</v>
      </c>
      <c r="E317" t="s">
        <v>4</v>
      </c>
      <c r="F317" s="2">
        <v>9</v>
      </c>
      <c r="G317" t="s">
        <v>575</v>
      </c>
      <c r="H317" s="2" t="s">
        <v>735</v>
      </c>
      <c r="I317" s="2" t="str">
        <f>CONCATENATE(B317," ",IF(ISBLANK(H317),D317,H317)," ", ",")</f>
        <v>ppd_wt_acute NUMBER(8,6) ,</v>
      </c>
    </row>
    <row r="318" spans="2:9" x14ac:dyDescent="0.25">
      <c r="B318" t="s">
        <v>340</v>
      </c>
      <c r="D318" t="s">
        <v>298</v>
      </c>
      <c r="E318" t="s">
        <v>4</v>
      </c>
      <c r="F318" s="2">
        <v>9</v>
      </c>
      <c r="G318" t="s">
        <v>569</v>
      </c>
      <c r="H318" s="2" t="s">
        <v>735</v>
      </c>
      <c r="I318" s="2" t="str">
        <f>CONCATENATE(B318," ",IF(ISBLANK(H318),D318,H318)," ", ",")</f>
        <v>ppd_wt_chronic NUMBER(8,6) ,</v>
      </c>
    </row>
    <row r="319" spans="2:9" x14ac:dyDescent="0.25">
      <c r="B319" t="s">
        <v>341</v>
      </c>
      <c r="D319" t="s">
        <v>298</v>
      </c>
      <c r="E319" t="s">
        <v>4</v>
      </c>
      <c r="F319" s="2">
        <v>7</v>
      </c>
      <c r="G319" t="s">
        <v>575</v>
      </c>
      <c r="H319" s="2" t="s">
        <v>735</v>
      </c>
      <c r="I319" s="2" t="str">
        <f>CONCATENATE(B319," ",IF(ISBLANK(H319),D319,H319)," ", ",")</f>
        <v>ppd_wt_total NUMBER(8,6) ,</v>
      </c>
    </row>
    <row r="320" spans="2:9" x14ac:dyDescent="0.25">
      <c r="B320" t="s">
        <v>342</v>
      </c>
      <c r="D320" t="s">
        <v>298</v>
      </c>
      <c r="E320" t="s">
        <v>4</v>
      </c>
      <c r="F320" s="2">
        <v>8</v>
      </c>
      <c r="G320" t="s">
        <v>575</v>
      </c>
      <c r="H320" s="2" t="s">
        <v>735</v>
      </c>
      <c r="I320" s="2" t="str">
        <f>CONCATENATE(B320," ",IF(ISBLANK(H320),D320,H320)," ", ",")</f>
        <v>pucd_acute NUMBER(8,6) ,</v>
      </c>
    </row>
    <row r="321" spans="2:9" x14ac:dyDescent="0.25">
      <c r="B321" t="s">
        <v>343</v>
      </c>
      <c r="D321" t="s">
        <v>298</v>
      </c>
      <c r="E321" t="s">
        <v>4</v>
      </c>
      <c r="F321" s="2">
        <v>8</v>
      </c>
      <c r="G321" t="s">
        <v>569</v>
      </c>
      <c r="H321" s="2" t="s">
        <v>735</v>
      </c>
      <c r="I321" s="2" t="str">
        <f>CONCATENATE(B321," ",IF(ISBLANK(H321),D321,H321)," ", ",")</f>
        <v>pucd_chronic NUMBER(8,6) ,</v>
      </c>
    </row>
    <row r="322" spans="2:9" x14ac:dyDescent="0.25">
      <c r="B322" t="s">
        <v>344</v>
      </c>
      <c r="D322" t="s">
        <v>298</v>
      </c>
      <c r="E322" t="s">
        <v>4</v>
      </c>
      <c r="F322" s="2">
        <v>8</v>
      </c>
      <c r="G322" t="s">
        <v>575</v>
      </c>
      <c r="H322" s="2" t="s">
        <v>735</v>
      </c>
      <c r="I322" s="2" t="str">
        <f>CONCATENATE(B322," ",IF(ISBLANK(H322),D322,H322)," ", ",")</f>
        <v>pucd_total NUMBER(8,6) ,</v>
      </c>
    </row>
    <row r="323" spans="2:9" x14ac:dyDescent="0.25">
      <c r="B323" t="s">
        <v>345</v>
      </c>
      <c r="D323" t="s">
        <v>298</v>
      </c>
      <c r="E323" t="s">
        <v>4</v>
      </c>
      <c r="F323" s="2">
        <v>8</v>
      </c>
      <c r="G323" t="s">
        <v>575</v>
      </c>
      <c r="H323" s="2" t="s">
        <v>735</v>
      </c>
      <c r="I323" s="2" t="str">
        <f>CONCATENATE(B323," ",IF(ISBLANK(H323),D323,H323)," ", ",")</f>
        <v>pucd_wt_acute NUMBER(8,6) ,</v>
      </c>
    </row>
    <row r="324" spans="2:9" x14ac:dyDescent="0.25">
      <c r="B324" t="s">
        <v>346</v>
      </c>
      <c r="D324" t="s">
        <v>298</v>
      </c>
      <c r="E324" t="s">
        <v>4</v>
      </c>
      <c r="F324" s="2">
        <v>8</v>
      </c>
      <c r="G324" t="s">
        <v>569</v>
      </c>
      <c r="H324" s="2" t="s">
        <v>735</v>
      </c>
      <c r="I324" s="2" t="str">
        <f>CONCATENATE(B324," ",IF(ISBLANK(H324),D324,H324)," ", ",")</f>
        <v>pucd_wt_chronic NUMBER(8,6) ,</v>
      </c>
    </row>
    <row r="325" spans="2:9" x14ac:dyDescent="0.25">
      <c r="B325" t="s">
        <v>347</v>
      </c>
      <c r="D325" t="s">
        <v>298</v>
      </c>
      <c r="E325" t="s">
        <v>4</v>
      </c>
      <c r="F325" s="2">
        <v>8</v>
      </c>
      <c r="G325" t="s">
        <v>575</v>
      </c>
      <c r="H325" s="2" t="s">
        <v>735</v>
      </c>
      <c r="I325" s="2" t="str">
        <f>CONCATENATE(B325," ",IF(ISBLANK(H325),D325,H325)," ", ",")</f>
        <v>pucd_wt_total NUMBER(8,6) ,</v>
      </c>
    </row>
    <row r="326" spans="2:9" x14ac:dyDescent="0.25">
      <c r="B326" t="s">
        <v>348</v>
      </c>
      <c r="D326" t="s">
        <v>298</v>
      </c>
      <c r="E326" t="s">
        <v>4</v>
      </c>
      <c r="F326" s="2">
        <v>1</v>
      </c>
      <c r="G326" t="s">
        <v>575</v>
      </c>
      <c r="H326" s="2" t="s">
        <v>722</v>
      </c>
      <c r="I326" s="2" t="str">
        <f>CONCATENATE(B326," ",IF(ISBLANK(H326),D326,H326)," ", ",")</f>
        <v>supp_cnt CHAR(1) ,</v>
      </c>
    </row>
    <row r="327" spans="2:9" x14ac:dyDescent="0.25">
      <c r="B327" t="s">
        <v>349</v>
      </c>
      <c r="D327" t="s">
        <v>298</v>
      </c>
      <c r="E327" t="s">
        <v>4</v>
      </c>
      <c r="F327" s="2">
        <v>7</v>
      </c>
      <c r="G327" t="s">
        <v>669</v>
      </c>
      <c r="H327" s="2" t="s">
        <v>735</v>
      </c>
      <c r="I327" s="2" t="str">
        <f>CONCATENATE(B327," ",IF(ISBLANK(H327),D327,H327)," ", ",")</f>
        <v>total_agesex_ppd NUMBER(8,6) ,</v>
      </c>
    </row>
    <row r="328" spans="2:9" x14ac:dyDescent="0.25">
      <c r="B328" t="s">
        <v>350</v>
      </c>
      <c r="D328" t="s">
        <v>298</v>
      </c>
      <c r="E328" t="s">
        <v>4</v>
      </c>
      <c r="F328" s="2">
        <v>6</v>
      </c>
      <c r="G328" t="s">
        <v>670</v>
      </c>
      <c r="H328" s="2" t="s">
        <v>735</v>
      </c>
      <c r="I328" s="2" t="str">
        <f>CONCATENATE(B328," ",IF(ISBLANK(H328),D328,H328)," ", ",")</f>
        <v>total_agesex_pucd NUMBER(8,6) ,</v>
      </c>
    </row>
    <row r="329" spans="2:9" x14ac:dyDescent="0.25">
      <c r="B329" t="s">
        <v>351</v>
      </c>
      <c r="D329" t="s">
        <v>298</v>
      </c>
      <c r="E329" t="s">
        <v>4</v>
      </c>
      <c r="F329" s="2">
        <v>7</v>
      </c>
      <c r="G329" t="s">
        <v>671</v>
      </c>
      <c r="H329" s="2" t="s">
        <v>735</v>
      </c>
      <c r="I329" s="2" t="str">
        <f>CONCATENATE(B329," ",IF(ISBLANK(H329),D329,H329)," ", ",")</f>
        <v>total_hcc_ppd NUMBER(8,6) ,</v>
      </c>
    </row>
    <row r="330" spans="2:9" x14ac:dyDescent="0.25">
      <c r="B330" t="s">
        <v>352</v>
      </c>
      <c r="D330" t="s">
        <v>298</v>
      </c>
      <c r="E330" t="s">
        <v>4</v>
      </c>
      <c r="F330" s="2">
        <v>9</v>
      </c>
      <c r="G330" t="s">
        <v>672</v>
      </c>
      <c r="H330" s="2" t="s">
        <v>735</v>
      </c>
      <c r="I330" s="2" t="str">
        <f>CONCATENATE(B330," ",IF(ISBLANK(H330),D330,H330)," ", ",")</f>
        <v>total_hcc_pucd NUMBER(8,6) ,</v>
      </c>
    </row>
    <row r="331" spans="2:9" x14ac:dyDescent="0.25">
      <c r="B331" t="s">
        <v>353</v>
      </c>
      <c r="C331" s="2" t="s">
        <v>817</v>
      </c>
      <c r="D331" t="s">
        <v>298</v>
      </c>
      <c r="E331" t="s">
        <v>4</v>
      </c>
      <c r="F331" s="2">
        <v>19</v>
      </c>
      <c r="G331" t="s">
        <v>569</v>
      </c>
      <c r="H331" s="2" t="s">
        <v>721</v>
      </c>
      <c r="I331" s="2" t="str">
        <f>CONCATENATE(B331," ",IF(ISBLANK(H331),D331,H331)," ", ",")</f>
        <v>admit TIMESTAMP ,</v>
      </c>
    </row>
    <row r="332" spans="2:9" x14ac:dyDescent="0.25">
      <c r="B332" t="s">
        <v>354</v>
      </c>
      <c r="C332" s="2" t="s">
        <v>867</v>
      </c>
      <c r="D332" t="s">
        <v>298</v>
      </c>
      <c r="E332" t="s">
        <v>4</v>
      </c>
      <c r="F332" s="2">
        <v>2</v>
      </c>
      <c r="G332" t="s">
        <v>569</v>
      </c>
      <c r="H332" s="2" t="s">
        <v>718</v>
      </c>
      <c r="I332" s="2" t="str">
        <f>CONCATENATE(B332," ",IF(ISBLANK(H332),D332,H332)," ", ",")</f>
        <v>engvst SMALLINT ,</v>
      </c>
    </row>
    <row r="333" spans="2:9" x14ac:dyDescent="0.25">
      <c r="B333" t="s">
        <v>355</v>
      </c>
      <c r="C333" s="2" t="s">
        <v>871</v>
      </c>
      <c r="D333" t="s">
        <v>298</v>
      </c>
      <c r="E333" t="s">
        <v>4</v>
      </c>
      <c r="F333" s="2">
        <v>19</v>
      </c>
      <c r="G333" t="s">
        <v>569</v>
      </c>
      <c r="H333" s="2" t="s">
        <v>721</v>
      </c>
      <c r="I333" s="2" t="str">
        <f>CONCATENATE(B333," ",IF(ISBLANK(H333),D333,H333)," ", ",")</f>
        <v>epdt1 TIMESTAMP ,</v>
      </c>
    </row>
    <row r="334" spans="2:9" x14ac:dyDescent="0.25">
      <c r="B334" t="s">
        <v>356</v>
      </c>
      <c r="C334" s="2" t="s">
        <v>872</v>
      </c>
      <c r="D334" t="s">
        <v>298</v>
      </c>
      <c r="E334" t="s">
        <v>4</v>
      </c>
      <c r="F334" s="2">
        <v>19</v>
      </c>
      <c r="G334" t="s">
        <v>569</v>
      </c>
      <c r="H334" s="2" t="s">
        <v>721</v>
      </c>
      <c r="I334" s="2" t="str">
        <f>CONCATENATE(B334," ",IF(ISBLANK(H334),D334,H334)," ", ",")</f>
        <v>epdt2 TIMESTAMP ,</v>
      </c>
    </row>
    <row r="335" spans="2:9" x14ac:dyDescent="0.25">
      <c r="B335" t="s">
        <v>357</v>
      </c>
      <c r="D335" t="s">
        <v>298</v>
      </c>
      <c r="E335" t="s">
        <v>4</v>
      </c>
      <c r="F335" s="2">
        <v>19</v>
      </c>
      <c r="G335" t="s">
        <v>569</v>
      </c>
      <c r="H335" s="2" t="s">
        <v>721</v>
      </c>
      <c r="I335" s="2" t="str">
        <f>CONCATENATE(B335," ",IF(ISBLANK(H335),D335,H335)," ", ",")</f>
        <v>hx_date TIMESTAMP ,</v>
      </c>
    </row>
    <row r="336" spans="2:9" x14ac:dyDescent="0.25">
      <c r="B336" t="s">
        <v>358</v>
      </c>
      <c r="C336" s="2" t="s">
        <v>887</v>
      </c>
      <c r="D336" t="s">
        <v>298</v>
      </c>
      <c r="E336" t="s">
        <v>4</v>
      </c>
      <c r="F336" s="2">
        <v>7</v>
      </c>
      <c r="G336" t="s">
        <v>569</v>
      </c>
      <c r="H336" s="2" t="s">
        <v>231</v>
      </c>
      <c r="I336" s="2" t="str">
        <f>CONCATENATE(B336," ",IF(ISBLANK(H336),D336,H336)," ", ",")</f>
        <v>idxprv VARCHAR(7) ,</v>
      </c>
    </row>
    <row r="337" spans="2:9" x14ac:dyDescent="0.25">
      <c r="B337" t="s">
        <v>359</v>
      </c>
      <c r="C337" s="2" t="s">
        <v>888</v>
      </c>
      <c r="D337" t="s">
        <v>298</v>
      </c>
      <c r="E337" t="s">
        <v>4</v>
      </c>
      <c r="F337" s="2">
        <v>19</v>
      </c>
      <c r="G337" t="s">
        <v>569</v>
      </c>
      <c r="H337" s="2" t="s">
        <v>721</v>
      </c>
      <c r="I337" s="2" t="str">
        <f>CONCATENATE(B337," ",IF(ISBLANK(H337),D337,H337)," ", ",")</f>
        <v>iedt TIMESTAMP ,</v>
      </c>
    </row>
    <row r="338" spans="2:9" x14ac:dyDescent="0.25">
      <c r="B338" t="s">
        <v>360</v>
      </c>
      <c r="C338" s="2" t="s">
        <v>894</v>
      </c>
      <c r="D338" t="s">
        <v>298</v>
      </c>
      <c r="E338" t="s">
        <v>4</v>
      </c>
      <c r="F338" s="2">
        <v>7</v>
      </c>
      <c r="G338" t="s">
        <v>569</v>
      </c>
      <c r="H338" s="2" t="s">
        <v>231</v>
      </c>
      <c r="I338" s="2" t="str">
        <f>CONCATENATE(B338," ",IF(ISBLANK(H338),D338,H338)," ", ",")</f>
        <v>iniprv VARCHAR(7) ,</v>
      </c>
    </row>
    <row r="339" spans="2:9" x14ac:dyDescent="0.25">
      <c r="B339" t="s">
        <v>361</v>
      </c>
      <c r="C339" s="2" t="s">
        <v>896</v>
      </c>
      <c r="D339" t="s">
        <v>298</v>
      </c>
      <c r="E339" t="s">
        <v>4</v>
      </c>
      <c r="F339" s="2">
        <v>1</v>
      </c>
      <c r="G339" t="s">
        <v>569</v>
      </c>
      <c r="H339" s="2" t="s">
        <v>722</v>
      </c>
      <c r="I339" s="2" t="str">
        <f>CONCATENATE(B339," ",IF(ISBLANK(H339),D339,H339)," ", ",")</f>
        <v>inpat CHAR(1) ,</v>
      </c>
    </row>
    <row r="340" spans="2:9" x14ac:dyDescent="0.25">
      <c r="B340" t="s">
        <v>362</v>
      </c>
      <c r="D340" t="s">
        <v>298</v>
      </c>
      <c r="E340" t="s">
        <v>4</v>
      </c>
      <c r="F340" s="2">
        <v>19</v>
      </c>
      <c r="G340" t="s">
        <v>569</v>
      </c>
      <c r="H340" s="2" t="s">
        <v>721</v>
      </c>
      <c r="I340" s="2" t="str">
        <f>CONCATENATE(B340," ",IF(ISBLANK(H340),D340,H340)," ", ",")</f>
        <v>reldt TIMESTAMP ,</v>
      </c>
    </row>
    <row r="341" spans="2:9" x14ac:dyDescent="0.25">
      <c r="B341" t="s">
        <v>363</v>
      </c>
      <c r="D341" t="s">
        <v>298</v>
      </c>
      <c r="E341" t="s">
        <v>4</v>
      </c>
      <c r="F341" s="2">
        <v>7</v>
      </c>
      <c r="G341" t="s">
        <v>673</v>
      </c>
      <c r="H341" s="2" t="s">
        <v>735</v>
      </c>
      <c r="I341" s="2" t="str">
        <f>CONCATENATE(B341," ",IF(ISBLANK(H341),D341,H341)," ", ",")</f>
        <v>base_medicine_ppd_wt NUMBER(8,6) ,</v>
      </c>
    </row>
    <row r="342" spans="2:9" x14ac:dyDescent="0.25">
      <c r="B342" t="s">
        <v>364</v>
      </c>
      <c r="D342" t="s">
        <v>298</v>
      </c>
      <c r="E342" t="s">
        <v>4</v>
      </c>
      <c r="F342" s="2">
        <v>6</v>
      </c>
      <c r="G342" t="s">
        <v>674</v>
      </c>
      <c r="H342" s="2" t="s">
        <v>735</v>
      </c>
      <c r="I342" s="2" t="str">
        <f>CONCATENATE(B342," ",IF(ISBLANK(H342),D342,H342)," ", ",")</f>
        <v>base_medicine_pucd_wt NUMBER(8,6) ,</v>
      </c>
    </row>
    <row r="343" spans="2:9" x14ac:dyDescent="0.25">
      <c r="B343" t="s">
        <v>365</v>
      </c>
      <c r="D343" t="s">
        <v>298</v>
      </c>
      <c r="E343" t="s">
        <v>4</v>
      </c>
      <c r="F343" s="2">
        <v>7</v>
      </c>
      <c r="G343" t="s">
        <v>675</v>
      </c>
      <c r="H343" s="2" t="s">
        <v>735</v>
      </c>
      <c r="I343" s="2" t="str">
        <f>CONCATENATE(B343," ",IF(ISBLANK(H343),D343,H343)," ", ",")</f>
        <v>base_surgery_ppd_wt NUMBER(8,6) ,</v>
      </c>
    </row>
    <row r="344" spans="2:9" x14ac:dyDescent="0.25">
      <c r="B344" t="s">
        <v>366</v>
      </c>
      <c r="D344" t="s">
        <v>298</v>
      </c>
      <c r="E344" t="s">
        <v>4</v>
      </c>
      <c r="F344" s="2">
        <v>6</v>
      </c>
      <c r="G344" t="s">
        <v>676</v>
      </c>
      <c r="H344" s="2" t="s">
        <v>735</v>
      </c>
      <c r="I344" s="2" t="str">
        <f>CONCATENATE(B344," ",IF(ISBLANK(H344),D344,H344)," ", ",")</f>
        <v>base_surgery_pucd_wt NUMBER(8,6) ,</v>
      </c>
    </row>
    <row r="345" spans="2:9" x14ac:dyDescent="0.25">
      <c r="B345" t="s">
        <v>367</v>
      </c>
      <c r="D345" t="s">
        <v>298</v>
      </c>
      <c r="E345" t="s">
        <v>4</v>
      </c>
      <c r="F345" s="2">
        <v>7</v>
      </c>
      <c r="G345" t="s">
        <v>677</v>
      </c>
      <c r="H345" s="2" t="s">
        <v>735</v>
      </c>
      <c r="I345" s="2" t="str">
        <f>CONCATENATE(B345," ",IF(ISBLANK(H345),D345,H345)," ", ",")</f>
        <v>com_agesex_sur_ppd NUMBER(8,6) ,</v>
      </c>
    </row>
    <row r="346" spans="2:9" x14ac:dyDescent="0.25">
      <c r="B346" t="s">
        <v>368</v>
      </c>
      <c r="D346" t="s">
        <v>298</v>
      </c>
      <c r="E346" t="s">
        <v>4</v>
      </c>
      <c r="F346" s="2">
        <v>6</v>
      </c>
      <c r="G346" t="s">
        <v>678</v>
      </c>
      <c r="H346" s="2" t="s">
        <v>735</v>
      </c>
      <c r="I346" s="2" t="str">
        <f>CONCATENATE(B346," ",IF(ISBLANK(H346),D346,H346)," ", ",")</f>
        <v>com_agesex_sur_pucd NUMBER(8,6) ,</v>
      </c>
    </row>
    <row r="347" spans="2:9" x14ac:dyDescent="0.25">
      <c r="B347" t="s">
        <v>369</v>
      </c>
      <c r="D347" t="s">
        <v>298</v>
      </c>
      <c r="E347" t="s">
        <v>4</v>
      </c>
      <c r="F347" s="2">
        <v>7</v>
      </c>
      <c r="G347" t="s">
        <v>679</v>
      </c>
      <c r="H347" s="2" t="s">
        <v>735</v>
      </c>
      <c r="I347" s="2" t="str">
        <f>CONCATENATE(B347," ",IF(ISBLANK(H347),D347,H347)," ", ",")</f>
        <v>com_hcc_sur_ppd NUMBER(8,6) ,</v>
      </c>
    </row>
    <row r="348" spans="2:9" x14ac:dyDescent="0.25">
      <c r="B348" t="s">
        <v>370</v>
      </c>
      <c r="D348" t="s">
        <v>298</v>
      </c>
      <c r="E348" t="s">
        <v>4</v>
      </c>
      <c r="F348" s="2">
        <v>8</v>
      </c>
      <c r="G348" t="s">
        <v>680</v>
      </c>
      <c r="H348" s="2" t="s">
        <v>735</v>
      </c>
      <c r="I348" s="2" t="str">
        <f>CONCATENATE(B348," ",IF(ISBLANK(H348),D348,H348)," ", ",")</f>
        <v>com_hcc_sur_pucd NUMBER(8,6) ,</v>
      </c>
    </row>
    <row r="349" spans="2:9" x14ac:dyDescent="0.25">
      <c r="B349" t="s">
        <v>371</v>
      </c>
      <c r="D349" t="s">
        <v>298</v>
      </c>
      <c r="E349" t="s">
        <v>4</v>
      </c>
      <c r="F349" s="2">
        <v>9</v>
      </c>
      <c r="G349" t="s">
        <v>681</v>
      </c>
      <c r="H349" s="2" t="s">
        <v>735</v>
      </c>
      <c r="I349" s="2" t="str">
        <f>CONCATENATE(B349," ",IF(ISBLANK(H349),D349,H349)," ", ",")</f>
        <v>exp_disch_cnt NUMBER(8,6) ,</v>
      </c>
    </row>
    <row r="350" spans="2:9" x14ac:dyDescent="0.25">
      <c r="B350" t="s">
        <v>372</v>
      </c>
      <c r="D350" t="s">
        <v>298</v>
      </c>
      <c r="E350" t="s">
        <v>4</v>
      </c>
      <c r="F350" s="2">
        <v>7</v>
      </c>
      <c r="G350" t="s">
        <v>682</v>
      </c>
      <c r="H350" s="2" t="s">
        <v>735</v>
      </c>
      <c r="I350" s="2" t="str">
        <f>CONCATENATE(B350," ",IF(ISBLANK(H350),D350,H350)," ", ",")</f>
        <v>mcr_agesex_sur_ppd NUMBER(8,6) ,</v>
      </c>
    </row>
    <row r="351" spans="2:9" x14ac:dyDescent="0.25">
      <c r="B351" t="s">
        <v>373</v>
      </c>
      <c r="D351" t="s">
        <v>298</v>
      </c>
      <c r="E351" t="s">
        <v>4</v>
      </c>
      <c r="F351" s="2">
        <v>6</v>
      </c>
      <c r="G351" t="s">
        <v>683</v>
      </c>
      <c r="H351" s="2" t="s">
        <v>735</v>
      </c>
      <c r="I351" s="2" t="str">
        <f>CONCATENATE(B351," ",IF(ISBLANK(H351),D351,H351)," ", ",")</f>
        <v>mcr_agesex_sur_pucd NUMBER(8,6) ,</v>
      </c>
    </row>
    <row r="352" spans="2:9" x14ac:dyDescent="0.25">
      <c r="B352" t="s">
        <v>374</v>
      </c>
      <c r="D352" t="s">
        <v>298</v>
      </c>
      <c r="E352" t="s">
        <v>4</v>
      </c>
      <c r="F352" s="2">
        <v>7</v>
      </c>
      <c r="G352" t="s">
        <v>684</v>
      </c>
      <c r="H352" s="2" t="s">
        <v>735</v>
      </c>
      <c r="I352" s="2" t="str">
        <f>CONCATENATE(B352," ",IF(ISBLANK(H352),D352,H352)," ", ",")</f>
        <v>mcr_hcc_sur_ppd NUMBER(8,6) ,</v>
      </c>
    </row>
    <row r="353" spans="2:9" x14ac:dyDescent="0.25">
      <c r="B353" t="s">
        <v>375</v>
      </c>
      <c r="D353" t="s">
        <v>298</v>
      </c>
      <c r="E353" t="s">
        <v>4</v>
      </c>
      <c r="F353" s="2">
        <v>8</v>
      </c>
      <c r="G353" t="s">
        <v>685</v>
      </c>
      <c r="H353" s="2" t="s">
        <v>735</v>
      </c>
      <c r="I353" s="2" t="str">
        <f>CONCATENATE(B353," ",IF(ISBLANK(H353),D353,H353)," ", ",")</f>
        <v>mcr_hcc_sur_pucd NUMBER(8,6) ,</v>
      </c>
    </row>
    <row r="354" spans="2:9" x14ac:dyDescent="0.25">
      <c r="B354" t="s">
        <v>376</v>
      </c>
      <c r="D354" t="s">
        <v>298</v>
      </c>
      <c r="E354" t="s">
        <v>4</v>
      </c>
      <c r="F354" s="2">
        <v>2</v>
      </c>
      <c r="G354" t="s">
        <v>575</v>
      </c>
      <c r="H354" s="2" t="s">
        <v>718</v>
      </c>
      <c r="I354" s="2" t="str">
        <f>CONCATENATE(B354," ",IF(ISBLANK(H354),D354,H354)," ", ",")</f>
        <v>med_cnt SMALLINT ,</v>
      </c>
    </row>
    <row r="355" spans="2:9" x14ac:dyDescent="0.25">
      <c r="B355" t="s">
        <v>377</v>
      </c>
      <c r="D355" t="s">
        <v>298</v>
      </c>
      <c r="E355" t="s">
        <v>4</v>
      </c>
      <c r="F355" s="2">
        <v>7</v>
      </c>
      <c r="G355" t="s">
        <v>686</v>
      </c>
      <c r="H355" s="2" t="s">
        <v>735</v>
      </c>
      <c r="I355" s="2" t="str">
        <f>CONCATENATE(B355," ",IF(ISBLANK(H355),D355,H355)," ", ",")</f>
        <v>medicine_agesex_ppd NUMBER(8,6) ,</v>
      </c>
    </row>
    <row r="356" spans="2:9" x14ac:dyDescent="0.25">
      <c r="B356" t="s">
        <v>378</v>
      </c>
      <c r="D356" t="s">
        <v>298</v>
      </c>
      <c r="E356" t="s">
        <v>4</v>
      </c>
      <c r="F356" s="2">
        <v>6</v>
      </c>
      <c r="G356" t="s">
        <v>687</v>
      </c>
      <c r="H356" s="2" t="s">
        <v>735</v>
      </c>
      <c r="I356" s="2" t="str">
        <f>CONCATENATE(B356," ",IF(ISBLANK(H356),D356,H356)," ", ",")</f>
        <v>medicine_agesex_pucd NUMBER(8,6) ,</v>
      </c>
    </row>
    <row r="357" spans="2:9" x14ac:dyDescent="0.25">
      <c r="B357" t="s">
        <v>379</v>
      </c>
      <c r="D357" t="s">
        <v>298</v>
      </c>
      <c r="E357" t="s">
        <v>4</v>
      </c>
      <c r="F357" s="2">
        <v>7</v>
      </c>
      <c r="G357" t="s">
        <v>688</v>
      </c>
      <c r="H357" s="2" t="s">
        <v>735</v>
      </c>
      <c r="I357" s="2" t="str">
        <f>CONCATENATE(B357," ",IF(ISBLANK(H357),D357,H357)," ", ",")</f>
        <v>medicine_hcc_ppd NUMBER(8,6) ,</v>
      </c>
    </row>
    <row r="358" spans="2:9" x14ac:dyDescent="0.25">
      <c r="B358" t="s">
        <v>380</v>
      </c>
      <c r="D358" t="s">
        <v>298</v>
      </c>
      <c r="E358" t="s">
        <v>4</v>
      </c>
      <c r="F358" s="2">
        <v>9</v>
      </c>
      <c r="G358" t="s">
        <v>689</v>
      </c>
      <c r="H358" s="2" t="s">
        <v>735</v>
      </c>
      <c r="I358" s="2" t="str">
        <f>CONCATENATE(B358," ",IF(ISBLANK(H358),D358,H358)," ", ",")</f>
        <v>medicine_hcc_pucd NUMBER(8,6) ,</v>
      </c>
    </row>
    <row r="359" spans="2:9" x14ac:dyDescent="0.25">
      <c r="B359" t="s">
        <v>381</v>
      </c>
      <c r="D359" t="s">
        <v>298</v>
      </c>
      <c r="E359" t="s">
        <v>4</v>
      </c>
      <c r="F359" s="2">
        <v>7</v>
      </c>
      <c r="G359" t="s">
        <v>690</v>
      </c>
      <c r="H359" s="2" t="s">
        <v>735</v>
      </c>
      <c r="I359" s="2" t="str">
        <f>CONCATENATE(B359," ",IF(ISBLANK(H359),D359,H359)," ", ",")</f>
        <v>medicine_ppd_wt NUMBER(8,6) ,</v>
      </c>
    </row>
    <row r="360" spans="2:9" x14ac:dyDescent="0.25">
      <c r="B360" t="s">
        <v>382</v>
      </c>
      <c r="D360" t="s">
        <v>298</v>
      </c>
      <c r="E360" t="s">
        <v>4</v>
      </c>
      <c r="F360" s="2">
        <v>9</v>
      </c>
      <c r="G360" t="s">
        <v>691</v>
      </c>
      <c r="H360" s="2" t="s">
        <v>735</v>
      </c>
      <c r="I360" s="2" t="str">
        <f>CONCATENATE(B360," ",IF(ISBLANK(H360),D360,H360)," ", ",")</f>
        <v>medicine_pucd_wt NUMBER(8,6) ,</v>
      </c>
    </row>
    <row r="361" spans="2:9" x14ac:dyDescent="0.25">
      <c r="B361" t="s">
        <v>383</v>
      </c>
      <c r="D361" t="s">
        <v>298</v>
      </c>
      <c r="E361" t="s">
        <v>4</v>
      </c>
      <c r="F361" s="2">
        <v>2</v>
      </c>
      <c r="G361" t="s">
        <v>575</v>
      </c>
      <c r="H361" s="2" t="s">
        <v>718</v>
      </c>
      <c r="I361" s="2" t="str">
        <f>CONCATENATE(B361," ",IF(ISBLANK(H361),D361,H361)," ", ",")</f>
        <v>obs_disch_cnt SMALLINT ,</v>
      </c>
    </row>
    <row r="362" spans="2:9" x14ac:dyDescent="0.25">
      <c r="B362" t="s">
        <v>384</v>
      </c>
      <c r="D362" t="s">
        <v>298</v>
      </c>
      <c r="E362" t="s">
        <v>4</v>
      </c>
      <c r="F362" s="2">
        <v>8</v>
      </c>
      <c r="G362" t="s">
        <v>692</v>
      </c>
      <c r="H362" s="2" t="s">
        <v>735</v>
      </c>
      <c r="I362" s="2" t="str">
        <f>CONCATENATE(B362," ",IF(ISBLANK(H362),D362,H362)," ", ",")</f>
        <v>ppd NUMBER(8,6) ,</v>
      </c>
    </row>
    <row r="363" spans="2:9" x14ac:dyDescent="0.25">
      <c r="B363" t="s">
        <v>385</v>
      </c>
      <c r="D363" t="s">
        <v>298</v>
      </c>
      <c r="E363" t="s">
        <v>4</v>
      </c>
      <c r="F363" s="2">
        <v>9</v>
      </c>
      <c r="G363" t="s">
        <v>693</v>
      </c>
      <c r="H363" s="2" t="s">
        <v>735</v>
      </c>
      <c r="I363" s="2" t="str">
        <f>CONCATENATE(B363," ",IF(ISBLANK(H363),D363,H363)," ", ",")</f>
        <v>pucd NUMBER(8,6) ,</v>
      </c>
    </row>
    <row r="364" spans="2:9" x14ac:dyDescent="0.25">
      <c r="B364" t="s">
        <v>386</v>
      </c>
      <c r="D364" t="s">
        <v>298</v>
      </c>
      <c r="E364" t="s">
        <v>4</v>
      </c>
      <c r="F364" s="2">
        <v>7</v>
      </c>
      <c r="G364" t="s">
        <v>694</v>
      </c>
      <c r="H364" s="2" t="s">
        <v>735</v>
      </c>
      <c r="I364" s="2" t="str">
        <f>CONCATENATE(B364," ",IF(ISBLANK(H364),D364,H364)," ", ",")</f>
        <v>surgery_agesex_ppd NUMBER(8,6) ,</v>
      </c>
    </row>
    <row r="365" spans="2:9" x14ac:dyDescent="0.25">
      <c r="B365" t="s">
        <v>387</v>
      </c>
      <c r="D365" t="s">
        <v>298</v>
      </c>
      <c r="E365" t="s">
        <v>4</v>
      </c>
      <c r="F365" s="2">
        <v>6</v>
      </c>
      <c r="G365" t="s">
        <v>695</v>
      </c>
      <c r="H365" s="2" t="s">
        <v>735</v>
      </c>
      <c r="I365" s="2" t="str">
        <f>CONCATENATE(B365," ",IF(ISBLANK(H365),D365,H365)," ", ",")</f>
        <v>surgery_agesex_pucd NUMBER(8,6) ,</v>
      </c>
    </row>
    <row r="366" spans="2:9" x14ac:dyDescent="0.25">
      <c r="B366" t="s">
        <v>388</v>
      </c>
      <c r="D366" t="s">
        <v>298</v>
      </c>
      <c r="E366" t="s">
        <v>4</v>
      </c>
      <c r="F366" s="2">
        <v>7</v>
      </c>
      <c r="G366" t="s">
        <v>679</v>
      </c>
      <c r="H366" s="2" t="s">
        <v>735</v>
      </c>
      <c r="I366" s="2" t="str">
        <f>CONCATENATE(B366," ",IF(ISBLANK(H366),D366,H366)," ", ",")</f>
        <v>surgery_hcc_ppd NUMBER(8,6) ,</v>
      </c>
    </row>
    <row r="367" spans="2:9" x14ac:dyDescent="0.25">
      <c r="B367" t="s">
        <v>389</v>
      </c>
      <c r="D367" t="s">
        <v>298</v>
      </c>
      <c r="E367" t="s">
        <v>4</v>
      </c>
      <c r="F367" s="2">
        <v>8</v>
      </c>
      <c r="G367" t="s">
        <v>696</v>
      </c>
      <c r="H367" s="2" t="s">
        <v>735</v>
      </c>
      <c r="I367" s="2" t="str">
        <f>CONCATENATE(B367," ",IF(ISBLANK(H367),D367,H367)," ", ",")</f>
        <v>surgery_hcc_pucd NUMBER(8,6) ,</v>
      </c>
    </row>
    <row r="368" spans="2:9" x14ac:dyDescent="0.25">
      <c r="B368" t="s">
        <v>390</v>
      </c>
      <c r="D368" t="s">
        <v>298</v>
      </c>
      <c r="E368" t="s">
        <v>4</v>
      </c>
      <c r="F368" s="2">
        <v>9</v>
      </c>
      <c r="G368" t="s">
        <v>697</v>
      </c>
      <c r="H368" s="2" t="s">
        <v>735</v>
      </c>
      <c r="I368" s="2" t="str">
        <f>CONCATENATE(B368," ",IF(ISBLANK(H368),D368,H368)," ", ",")</f>
        <v>surgery_ppd_wt NUMBER(8,6) ,</v>
      </c>
    </row>
    <row r="369" spans="2:9" x14ac:dyDescent="0.25">
      <c r="B369" t="s">
        <v>391</v>
      </c>
      <c r="D369" t="s">
        <v>298</v>
      </c>
      <c r="E369" t="s">
        <v>4</v>
      </c>
      <c r="F369" s="2">
        <v>8</v>
      </c>
      <c r="G369" t="s">
        <v>698</v>
      </c>
      <c r="H369" s="2" t="s">
        <v>735</v>
      </c>
      <c r="I369" s="2" t="str">
        <f>CONCATENATE(B369," ",IF(ISBLANK(H369),D369,H369)," ", ",")</f>
        <v>surgery_pucd_wt NUMBER(8,6) ,</v>
      </c>
    </row>
    <row r="370" spans="2:9" x14ac:dyDescent="0.25">
      <c r="B370" t="s">
        <v>392</v>
      </c>
      <c r="D370" t="s">
        <v>298</v>
      </c>
      <c r="E370" t="s">
        <v>4</v>
      </c>
      <c r="F370" s="2">
        <v>7</v>
      </c>
      <c r="G370" t="s">
        <v>699</v>
      </c>
      <c r="H370" s="2" t="s">
        <v>735</v>
      </c>
      <c r="I370" s="2" t="str">
        <f>CONCATENATE(B370," ",IF(ISBLANK(H370),D370,H370)," ", ",")</f>
        <v>total_agesex_com_ppd NUMBER(8,6) ,</v>
      </c>
    </row>
    <row r="371" spans="2:9" x14ac:dyDescent="0.25">
      <c r="B371" t="s">
        <v>393</v>
      </c>
      <c r="D371" t="s">
        <v>298</v>
      </c>
      <c r="E371" t="s">
        <v>4</v>
      </c>
      <c r="F371" s="2">
        <v>6</v>
      </c>
      <c r="G371" t="s">
        <v>700</v>
      </c>
      <c r="H371" s="2" t="s">
        <v>735</v>
      </c>
      <c r="I371" s="2" t="str">
        <f>CONCATENATE(B371," ",IF(ISBLANK(H371),D371,H371)," ", ",")</f>
        <v>total_agesex_com_pucd NUMBER(8,6) ,</v>
      </c>
    </row>
    <row r="372" spans="2:9" x14ac:dyDescent="0.25">
      <c r="B372" t="s">
        <v>394</v>
      </c>
      <c r="D372" t="s">
        <v>298</v>
      </c>
      <c r="E372" t="s">
        <v>4</v>
      </c>
      <c r="F372" s="2">
        <v>7</v>
      </c>
      <c r="G372" t="s">
        <v>701</v>
      </c>
      <c r="H372" s="2" t="s">
        <v>735</v>
      </c>
      <c r="I372" s="2" t="str">
        <f>CONCATENATE(B372," ",IF(ISBLANK(H372),D372,H372)," ", ",")</f>
        <v>total_agesex_mcr_ppd NUMBER(8,6) ,</v>
      </c>
    </row>
    <row r="373" spans="2:9" x14ac:dyDescent="0.25">
      <c r="B373" t="s">
        <v>395</v>
      </c>
      <c r="D373" t="s">
        <v>298</v>
      </c>
      <c r="E373" t="s">
        <v>4</v>
      </c>
      <c r="F373" s="2">
        <v>6</v>
      </c>
      <c r="G373" t="s">
        <v>702</v>
      </c>
      <c r="H373" s="2" t="s">
        <v>735</v>
      </c>
      <c r="I373" s="2" t="str">
        <f>CONCATENATE(B373," ",IF(ISBLANK(H373),D373,H373)," ", ",")</f>
        <v>total_agesex_mcr_pucd NUMBER(8,6) ,</v>
      </c>
    </row>
    <row r="374" spans="2:9" x14ac:dyDescent="0.25">
      <c r="B374" t="s">
        <v>396</v>
      </c>
      <c r="D374" t="s">
        <v>298</v>
      </c>
      <c r="E374" t="s">
        <v>4</v>
      </c>
      <c r="F374" s="2">
        <v>2</v>
      </c>
      <c r="G374" t="s">
        <v>577</v>
      </c>
      <c r="H374" s="2" t="s">
        <v>718</v>
      </c>
      <c r="I374" s="2" t="str">
        <f>CONCATENATE(B374," ",IF(ISBLANK(H374),D374,H374)," ", ",")</f>
        <v>total_cnt SMALLINT ,</v>
      </c>
    </row>
    <row r="375" spans="2:9" x14ac:dyDescent="0.25">
      <c r="B375" t="s">
        <v>397</v>
      </c>
      <c r="D375" t="s">
        <v>298</v>
      </c>
      <c r="E375" t="s">
        <v>4</v>
      </c>
      <c r="F375" s="2">
        <v>7</v>
      </c>
      <c r="G375" t="s">
        <v>671</v>
      </c>
      <c r="H375" s="2" t="s">
        <v>735</v>
      </c>
      <c r="I375" s="2" t="str">
        <f>CONCATENATE(B375," ",IF(ISBLANK(H375),D375,H375)," ", ",")</f>
        <v>total_com_hcc_ppd NUMBER(8,6) ,</v>
      </c>
    </row>
    <row r="376" spans="2:9" x14ac:dyDescent="0.25">
      <c r="B376" t="s">
        <v>398</v>
      </c>
      <c r="D376" t="s">
        <v>298</v>
      </c>
      <c r="E376" t="s">
        <v>4</v>
      </c>
      <c r="F376" s="2">
        <v>9</v>
      </c>
      <c r="G376" t="s">
        <v>672</v>
      </c>
      <c r="H376" s="2" t="s">
        <v>735</v>
      </c>
      <c r="I376" s="2" t="str">
        <f>CONCATENATE(B376," ",IF(ISBLANK(H376),D376,H376)," ", ",")</f>
        <v>total_com_hcc_pucd NUMBER(8,6) ,</v>
      </c>
    </row>
    <row r="377" spans="2:9" x14ac:dyDescent="0.25">
      <c r="B377" t="s">
        <v>399</v>
      </c>
      <c r="D377" t="s">
        <v>298</v>
      </c>
      <c r="E377" t="s">
        <v>4</v>
      </c>
      <c r="F377" s="2">
        <v>6</v>
      </c>
      <c r="G377" t="s">
        <v>703</v>
      </c>
      <c r="H377" s="2" t="s">
        <v>735</v>
      </c>
      <c r="I377" s="2" t="str">
        <f>CONCATENATE(B377," ",IF(ISBLANK(H377),D377,H377)," ", ",")</f>
        <v>total_ma_hcc_ppd NUMBER(8,6) ,</v>
      </c>
    </row>
    <row r="378" spans="2:9" x14ac:dyDescent="0.25">
      <c r="B378" t="s">
        <v>400</v>
      </c>
      <c r="D378" t="s">
        <v>298</v>
      </c>
      <c r="E378" t="s">
        <v>4</v>
      </c>
      <c r="F378" s="2">
        <v>8</v>
      </c>
      <c r="G378" t="s">
        <v>704</v>
      </c>
      <c r="H378" s="2" t="s">
        <v>735</v>
      </c>
      <c r="I378" s="2" t="str">
        <f>CONCATENATE(B378," ",IF(ISBLANK(H378),D378,H378)," ", ",")</f>
        <v>total_ma_hcc_pucd NUMBER(8,6) ,</v>
      </c>
    </row>
    <row r="379" spans="2:9" x14ac:dyDescent="0.25">
      <c r="B379" t="s">
        <v>401</v>
      </c>
      <c r="D379" t="s">
        <v>298</v>
      </c>
      <c r="E379" t="s">
        <v>4</v>
      </c>
      <c r="F379" s="2">
        <v>8</v>
      </c>
      <c r="G379" t="s">
        <v>705</v>
      </c>
      <c r="H379" s="2" t="s">
        <v>735</v>
      </c>
      <c r="I379" s="2" t="str">
        <f>CONCATENATE(B379," ",IF(ISBLANK(H379),D379,H379)," ", ",")</f>
        <v>total_ppd_wt NUMBER(8,6) ,</v>
      </c>
    </row>
    <row r="380" spans="2:9" x14ac:dyDescent="0.25">
      <c r="B380" t="s">
        <v>402</v>
      </c>
      <c r="D380" t="s">
        <v>298</v>
      </c>
      <c r="E380" t="s">
        <v>4</v>
      </c>
      <c r="F380" s="2">
        <v>9</v>
      </c>
      <c r="G380" t="s">
        <v>706</v>
      </c>
      <c r="H380" s="2" t="s">
        <v>735</v>
      </c>
      <c r="I380" s="2" t="str">
        <f>CONCATENATE(B380," ",IF(ISBLANK(H380),D380,H380)," ", ",")</f>
        <v>total_pucd_wt NUMBER(8,6) ,</v>
      </c>
    </row>
    <row r="381" spans="2:9" x14ac:dyDescent="0.25">
      <c r="B381" t="s">
        <v>403</v>
      </c>
      <c r="C381" s="2" t="s">
        <v>886</v>
      </c>
      <c r="D381" t="s">
        <v>298</v>
      </c>
      <c r="E381" t="s">
        <v>4</v>
      </c>
      <c r="F381" s="2">
        <v>1</v>
      </c>
      <c r="G381" t="s">
        <v>575</v>
      </c>
      <c r="H381" s="2" t="s">
        <v>722</v>
      </c>
      <c r="I381" s="2" t="str">
        <f>CONCATENATE(B381," ",IF(ISBLANK(H381),D381,H381)," ", ",")</f>
        <v>hpvct CHAR(1) ,</v>
      </c>
    </row>
    <row r="382" spans="2:9" x14ac:dyDescent="0.25">
      <c r="B382" t="s">
        <v>404</v>
      </c>
      <c r="C382" s="2" t="s">
        <v>853</v>
      </c>
      <c r="D382" t="s">
        <v>298</v>
      </c>
      <c r="E382" t="s">
        <v>4</v>
      </c>
      <c r="F382" s="2">
        <v>3</v>
      </c>
      <c r="G382" t="s">
        <v>569</v>
      </c>
      <c r="H382" s="2" t="s">
        <v>718</v>
      </c>
      <c r="I382" s="2" t="str">
        <f>CONCATENATE(B382," ",IF(ISBLANK(H382),D382,H382)," ", ",")</f>
        <v>days_ct SMALLINT ,</v>
      </c>
    </row>
    <row r="383" spans="2:9" x14ac:dyDescent="0.25">
      <c r="B383" t="s">
        <v>405</v>
      </c>
      <c r="C383" s="2" t="s">
        <v>893</v>
      </c>
      <c r="D383" t="s">
        <v>298</v>
      </c>
      <c r="E383" t="s">
        <v>4</v>
      </c>
      <c r="F383" s="2">
        <v>1</v>
      </c>
      <c r="G383" t="s">
        <v>569</v>
      </c>
      <c r="H383" s="2" t="s">
        <v>722</v>
      </c>
      <c r="I383" s="2" t="str">
        <f>CONCATENATE(B383," ",IF(ISBLANK(H383),D383,H383)," ", ",")</f>
        <v>indxfg CHAR(1) ,</v>
      </c>
    </row>
    <row r="384" spans="2:9" x14ac:dyDescent="0.25">
      <c r="B384" t="s">
        <v>406</v>
      </c>
      <c r="C384" s="2" t="s">
        <v>855</v>
      </c>
      <c r="D384" t="s">
        <v>298</v>
      </c>
      <c r="E384" t="s">
        <v>4</v>
      </c>
      <c r="F384" s="2">
        <v>1</v>
      </c>
      <c r="G384" t="s">
        <v>575</v>
      </c>
      <c r="H384" s="2" t="s">
        <v>722</v>
      </c>
      <c r="I384" s="2" t="str">
        <f>CONCATENATE(B384," ",IF(ISBLANK(H384),D384,H384)," ", ",")</f>
        <v>declined CHAR(1) ,</v>
      </c>
    </row>
    <row r="385" spans="2:9" x14ac:dyDescent="0.25">
      <c r="B385" t="s">
        <v>407</v>
      </c>
      <c r="C385" s="2" t="s">
        <v>866</v>
      </c>
      <c r="D385" t="s">
        <v>298</v>
      </c>
      <c r="E385" t="s">
        <v>4</v>
      </c>
      <c r="F385" s="2">
        <v>1</v>
      </c>
      <c r="G385" t="s">
        <v>577</v>
      </c>
      <c r="H385" s="2" t="s">
        <v>722</v>
      </c>
      <c r="I385" s="2" t="str">
        <f>CONCATENATE(B385," ",IF(ISBLANK(H385),D385,H385)," ", ",")</f>
        <v>english CHAR(1) ,</v>
      </c>
    </row>
    <row r="386" spans="2:9" x14ac:dyDescent="0.25">
      <c r="B386" t="s">
        <v>408</v>
      </c>
      <c r="C386" s="2" t="s">
        <v>918</v>
      </c>
      <c r="D386" t="s">
        <v>298</v>
      </c>
      <c r="E386" t="s">
        <v>4</v>
      </c>
      <c r="F386" s="2">
        <v>1</v>
      </c>
      <c r="G386" t="s">
        <v>707</v>
      </c>
      <c r="H386" s="2" t="s">
        <v>722</v>
      </c>
      <c r="I386" s="2" t="str">
        <f>CONCATENATE(B386," ",IF(ISBLANK(H386),D386,H386)," ", ",")</f>
        <v>memlan CHAR(1) ,</v>
      </c>
    </row>
    <row r="387" spans="2:9" x14ac:dyDescent="0.25">
      <c r="B387" t="s">
        <v>409</v>
      </c>
      <c r="C387" s="2" t="s">
        <v>919</v>
      </c>
      <c r="D387" t="s">
        <v>298</v>
      </c>
      <c r="E387" t="s">
        <v>4</v>
      </c>
      <c r="F387" s="2">
        <v>1</v>
      </c>
      <c r="G387" t="s">
        <v>609</v>
      </c>
      <c r="H387" s="2" t="s">
        <v>722</v>
      </c>
      <c r="I387" s="2" t="str">
        <f>CONCATENATE(B387," ",IF(ISBLANK(H387),D387,H387)," ", ",")</f>
        <v>memlansrc CHAR(1) ,</v>
      </c>
    </row>
    <row r="388" spans="2:9" x14ac:dyDescent="0.25">
      <c r="B388" t="s">
        <v>410</v>
      </c>
      <c r="C388" s="2" t="s">
        <v>925</v>
      </c>
      <c r="D388" t="s">
        <v>298</v>
      </c>
      <c r="E388" t="s">
        <v>4</v>
      </c>
      <c r="F388" s="2">
        <v>1</v>
      </c>
      <c r="G388" t="s">
        <v>586</v>
      </c>
      <c r="H388" s="2" t="s">
        <v>722</v>
      </c>
      <c r="I388" s="2" t="str">
        <f>CONCATENATE(B388," ",IF(ISBLANK(H388),D388,H388)," ", ",")</f>
        <v>mproduct CHAR(1) ,</v>
      </c>
    </row>
    <row r="389" spans="2:9" x14ac:dyDescent="0.25">
      <c r="B389" t="s">
        <v>411</v>
      </c>
      <c r="C389" s="2" t="s">
        <v>932</v>
      </c>
      <c r="D389" t="s">
        <v>298</v>
      </c>
      <c r="E389" t="s">
        <v>4</v>
      </c>
      <c r="F389" s="2">
        <v>1</v>
      </c>
      <c r="G389" t="s">
        <v>575</v>
      </c>
      <c r="H389" s="2" t="s">
        <v>722</v>
      </c>
      <c r="I389" s="2" t="str">
        <f>CONCATENATE(B389," ",IF(ISBLANK(H389),D389,H389)," ", ",")</f>
        <v>nonenglish CHAR(1) ,</v>
      </c>
    </row>
    <row r="390" spans="2:9" x14ac:dyDescent="0.25">
      <c r="B390" t="s">
        <v>412</v>
      </c>
      <c r="C390" s="2" t="s">
        <v>990</v>
      </c>
      <c r="D390" t="s">
        <v>298</v>
      </c>
      <c r="E390" t="s">
        <v>4</v>
      </c>
      <c r="F390" s="2">
        <v>1</v>
      </c>
      <c r="G390" t="s">
        <v>577</v>
      </c>
      <c r="H390" s="2" t="s">
        <v>722</v>
      </c>
      <c r="I390" s="2" t="str">
        <f>CONCATENATE(B390," ",IF(ISBLANK(H390),D390,H390)," ", ",")</f>
        <v>src_cms CHAR(1) ,</v>
      </c>
    </row>
    <row r="391" spans="2:9" x14ac:dyDescent="0.25">
      <c r="B391" t="s">
        <v>413</v>
      </c>
      <c r="C391" s="2" t="s">
        <v>991</v>
      </c>
      <c r="D391" t="s">
        <v>298</v>
      </c>
      <c r="E391" t="s">
        <v>4</v>
      </c>
      <c r="F391" s="2">
        <v>1</v>
      </c>
      <c r="G391" t="s">
        <v>577</v>
      </c>
      <c r="H391" s="2" t="s">
        <v>722</v>
      </c>
      <c r="I391" s="2" t="str">
        <f>CONCATENATE(B391," ",IF(ISBLANK(H391),D391,H391)," ", ",")</f>
        <v>src_cms_state CHAR(1) ,</v>
      </c>
    </row>
    <row r="392" spans="2:9" x14ac:dyDescent="0.25">
      <c r="B392" t="s">
        <v>414</v>
      </c>
      <c r="C392" s="2" t="s">
        <v>992</v>
      </c>
      <c r="D392" t="s">
        <v>298</v>
      </c>
      <c r="E392" t="s">
        <v>4</v>
      </c>
      <c r="F392" s="2">
        <v>1</v>
      </c>
      <c r="G392" t="s">
        <v>575</v>
      </c>
      <c r="H392" s="2" t="s">
        <v>722</v>
      </c>
      <c r="I392" s="2" t="str">
        <f>CONCATENATE(B392," ",IF(ISBLANK(H392),D392,H392)," ", ",")</f>
        <v>src_direct CHAR(1) ,</v>
      </c>
    </row>
    <row r="393" spans="2:9" x14ac:dyDescent="0.25">
      <c r="B393" t="s">
        <v>415</v>
      </c>
      <c r="C393" s="2" t="s">
        <v>1004</v>
      </c>
      <c r="D393" t="s">
        <v>298</v>
      </c>
      <c r="E393" t="s">
        <v>4</v>
      </c>
      <c r="F393" s="2">
        <v>1</v>
      </c>
      <c r="G393" t="s">
        <v>642</v>
      </c>
      <c r="H393" s="2" t="s">
        <v>722</v>
      </c>
      <c r="I393" s="2" t="str">
        <f>CONCATENATE(B393," ",IF(ISBLANK(H393),D393,H393)," ", ",")</f>
        <v>src_other CHAR(1) ,</v>
      </c>
    </row>
    <row r="394" spans="2:9" x14ac:dyDescent="0.25">
      <c r="B394" t="s">
        <v>416</v>
      </c>
      <c r="C394" s="2" t="s">
        <v>1016</v>
      </c>
      <c r="D394" t="s">
        <v>298</v>
      </c>
      <c r="E394" t="s">
        <v>4</v>
      </c>
      <c r="F394" s="2">
        <v>1</v>
      </c>
      <c r="G394" t="s">
        <v>577</v>
      </c>
      <c r="H394" s="2" t="s">
        <v>722</v>
      </c>
      <c r="I394" s="2" t="str">
        <f>CONCATENATE(B394," ",IF(ISBLANK(H394),D394,H394)," ", ",")</f>
        <v>src_state CHAR(1) ,</v>
      </c>
    </row>
    <row r="395" spans="2:9" x14ac:dyDescent="0.25">
      <c r="B395" t="s">
        <v>417</v>
      </c>
      <c r="C395" s="2" t="s">
        <v>921</v>
      </c>
      <c r="D395" t="s">
        <v>298</v>
      </c>
      <c r="E395" t="s">
        <v>4</v>
      </c>
      <c r="F395" s="2">
        <v>1</v>
      </c>
      <c r="G395" t="s">
        <v>576</v>
      </c>
      <c r="H395" s="2" t="s">
        <v>722</v>
      </c>
      <c r="I395" s="2" t="str">
        <f>CONCATENATE(B395," ",IF(ISBLANK(H395),D395,H395)," ", ",")</f>
        <v>totmem CHAR(1) ,</v>
      </c>
    </row>
    <row r="396" spans="2:9" x14ac:dyDescent="0.25">
      <c r="B396" t="s">
        <v>418</v>
      </c>
      <c r="D396" t="s">
        <v>298</v>
      </c>
      <c r="E396" t="s">
        <v>4</v>
      </c>
      <c r="F396" s="2">
        <v>1</v>
      </c>
      <c r="G396" t="s">
        <v>642</v>
      </c>
      <c r="H396" s="2" t="s">
        <v>722</v>
      </c>
      <c r="I396" s="2" t="str">
        <f>CONCATENATE(B396," ",IF(ISBLANK(H396),D396,H396)," ", ",")</f>
        <v>unknown_ CHAR(1) ,</v>
      </c>
    </row>
    <row r="397" spans="2:9" x14ac:dyDescent="0.25">
      <c r="B397" t="s">
        <v>419</v>
      </c>
      <c r="D397" t="s">
        <v>298</v>
      </c>
      <c r="E397" t="s">
        <v>4</v>
      </c>
      <c r="F397" s="2">
        <v>8</v>
      </c>
      <c r="G397" t="s">
        <v>642</v>
      </c>
      <c r="H397" s="2" t="s">
        <v>735</v>
      </c>
      <c r="I397" s="2" t="str">
        <f>CONCATENATE(B397," ",IF(ISBLANK(H397),D397,H397)," ", ",")</f>
        <v>com_years NUMBER(8,6) ,</v>
      </c>
    </row>
    <row r="398" spans="2:9" x14ac:dyDescent="0.25">
      <c r="B398" t="s">
        <v>420</v>
      </c>
      <c r="D398" t="s">
        <v>298</v>
      </c>
      <c r="E398" t="s">
        <v>4</v>
      </c>
      <c r="F398" s="2">
        <v>1</v>
      </c>
      <c r="G398" t="s">
        <v>574</v>
      </c>
      <c r="H398" s="2" t="s">
        <v>722</v>
      </c>
      <c r="I398" s="2" t="str">
        <f>CONCATENATE(B398," ",IF(ISBLANK(H398),D398,H398)," ", ",")</f>
        <v>contrfg CHAR(1) ,</v>
      </c>
    </row>
    <row r="399" spans="2:9" x14ac:dyDescent="0.25">
      <c r="B399" t="s">
        <v>421</v>
      </c>
      <c r="C399" s="2" t="s">
        <v>764</v>
      </c>
      <c r="D399" t="s">
        <v>298</v>
      </c>
      <c r="E399" t="s">
        <v>4</v>
      </c>
      <c r="F399" s="2">
        <v>3</v>
      </c>
      <c r="G399" t="s">
        <v>569</v>
      </c>
      <c r="H399" s="2" t="s">
        <v>718</v>
      </c>
      <c r="I399" s="2" t="str">
        <f>CONCATENATE(B399," ",IF(ISBLANK(H399),D399,H399)," ", ",")</f>
        <v>cov_days SMALLINT ,</v>
      </c>
    </row>
    <row r="400" spans="2:9" x14ac:dyDescent="0.25">
      <c r="B400" t="s">
        <v>422</v>
      </c>
      <c r="D400" t="s">
        <v>298</v>
      </c>
      <c r="E400" t="s">
        <v>4</v>
      </c>
      <c r="F400" s="2">
        <v>3</v>
      </c>
      <c r="G400" t="s">
        <v>569</v>
      </c>
      <c r="H400" s="2" t="s">
        <v>718</v>
      </c>
      <c r="I400" s="2" t="str">
        <f>CONCATENATE(B400," ",IF(ISBLANK(H400),D400,H400)," ", ",")</f>
        <v>cov_days_needed SMALLINT ,</v>
      </c>
    </row>
    <row r="401" spans="2:9" x14ac:dyDescent="0.25">
      <c r="B401" t="s">
        <v>423</v>
      </c>
      <c r="D401" t="s">
        <v>298</v>
      </c>
      <c r="E401" t="s">
        <v>4</v>
      </c>
      <c r="F401" s="2">
        <v>1</v>
      </c>
      <c r="G401" t="s">
        <v>571</v>
      </c>
      <c r="H401" s="2" t="s">
        <v>722</v>
      </c>
      <c r="I401" s="2" t="str">
        <f>CONCATENATE(B401," ",IF(ISBLANK(H401),D401,H401)," ", ",")</f>
        <v>denomfg CHAR(1) ,</v>
      </c>
    </row>
    <row r="402" spans="2:9" x14ac:dyDescent="0.25">
      <c r="B402" t="s">
        <v>424</v>
      </c>
      <c r="D402" t="s">
        <v>298</v>
      </c>
      <c r="E402" t="s">
        <v>4</v>
      </c>
      <c r="F402" s="2">
        <v>19</v>
      </c>
      <c r="G402" t="s">
        <v>569</v>
      </c>
      <c r="H402" s="2" t="s">
        <v>721</v>
      </c>
      <c r="I402" s="2" t="str">
        <f>CONCATENATE(B402," ",IF(ISBLANK(H402),D402,H402)," ", ",")</f>
        <v>enr_begin TIMESTAMP ,</v>
      </c>
    </row>
    <row r="403" spans="2:9" x14ac:dyDescent="0.25">
      <c r="B403" t="s">
        <v>425</v>
      </c>
      <c r="C403" s="2" t="s">
        <v>868</v>
      </c>
      <c r="D403" t="s">
        <v>298</v>
      </c>
      <c r="E403" t="s">
        <v>4</v>
      </c>
      <c r="F403" s="2">
        <v>3</v>
      </c>
      <c r="G403" t="s">
        <v>708</v>
      </c>
      <c r="H403" s="2" t="s">
        <v>718</v>
      </c>
      <c r="I403" s="2" t="str">
        <f>CONCATENATE(B403," ",IF(ISBLANK(H403),D403,H403)," ", ",")</f>
        <v>enr_days SMALLINT ,</v>
      </c>
    </row>
    <row r="404" spans="2:9" x14ac:dyDescent="0.25">
      <c r="B404" t="s">
        <v>426</v>
      </c>
      <c r="D404" t="s">
        <v>298</v>
      </c>
      <c r="E404" t="s">
        <v>4</v>
      </c>
      <c r="F404" s="2">
        <v>3</v>
      </c>
      <c r="G404" t="s">
        <v>569</v>
      </c>
      <c r="H404" s="2" t="s">
        <v>718</v>
      </c>
      <c r="I404" s="2" t="str">
        <f>CONCATENATE(B404," ",IF(ISBLANK(H404),D404,H404)," ", ",")</f>
        <v>enr_days_proj SMALLINT ,</v>
      </c>
    </row>
    <row r="405" spans="2:9" x14ac:dyDescent="0.25">
      <c r="B405" t="s">
        <v>427</v>
      </c>
      <c r="D405" t="s">
        <v>298</v>
      </c>
      <c r="E405" t="s">
        <v>4</v>
      </c>
      <c r="F405" s="2">
        <v>19</v>
      </c>
      <c r="G405" t="s">
        <v>636</v>
      </c>
      <c r="H405" s="2" t="s">
        <v>721</v>
      </c>
      <c r="I405" s="2" t="str">
        <f>CONCATENATE(B405," ",IF(ISBLANK(H405),D405,H405)," ", ",")</f>
        <v>enr_end TIMESTAMP ,</v>
      </c>
    </row>
    <row r="406" spans="2:9" x14ac:dyDescent="0.25">
      <c r="B406" t="s">
        <v>428</v>
      </c>
      <c r="D406" t="s">
        <v>298</v>
      </c>
      <c r="E406" t="s">
        <v>4</v>
      </c>
      <c r="F406" s="2">
        <v>19</v>
      </c>
      <c r="G406" t="s">
        <v>569</v>
      </c>
      <c r="H406" s="2" t="s">
        <v>721</v>
      </c>
      <c r="I406" s="2" t="str">
        <f>CONCATENATE(B406," ",IF(ISBLANK(H406),D406,H406)," ", ",")</f>
        <v>first_rx TIMESTAMP ,</v>
      </c>
    </row>
    <row r="407" spans="2:9" x14ac:dyDescent="0.25">
      <c r="B407" t="s">
        <v>429</v>
      </c>
      <c r="D407" t="s">
        <v>298</v>
      </c>
      <c r="E407" t="s">
        <v>4</v>
      </c>
      <c r="F407" s="2">
        <v>3</v>
      </c>
      <c r="G407" t="s">
        <v>709</v>
      </c>
      <c r="H407" s="2" t="s">
        <v>718</v>
      </c>
      <c r="I407" s="2" t="str">
        <f>CONCATENATE(B407," ",IF(ISBLANK(H407),D407,H407)," ", ",")</f>
        <v>mem_days SMALLINT ,</v>
      </c>
    </row>
    <row r="408" spans="2:9" x14ac:dyDescent="0.25">
      <c r="B408" t="s">
        <v>430</v>
      </c>
      <c r="D408" t="s">
        <v>298</v>
      </c>
      <c r="E408" t="s">
        <v>4</v>
      </c>
      <c r="F408" s="2">
        <v>8</v>
      </c>
      <c r="G408" t="s">
        <v>576</v>
      </c>
      <c r="H408" s="2" t="s">
        <v>735</v>
      </c>
      <c r="I408" s="2" t="str">
        <f>CONCATENATE(B408," ",IF(ISBLANK(H408),D408,H408)," ", ",")</f>
        <v>mem_years NUMBER(8,6) ,</v>
      </c>
    </row>
    <row r="409" spans="2:9" x14ac:dyDescent="0.25">
      <c r="B409" t="s">
        <v>431</v>
      </c>
      <c r="D409" t="s">
        <v>298</v>
      </c>
      <c r="E409" t="s">
        <v>4</v>
      </c>
      <c r="F409" s="2">
        <v>1</v>
      </c>
      <c r="G409" t="s">
        <v>628</v>
      </c>
      <c r="H409" s="2" t="s">
        <v>722</v>
      </c>
      <c r="I409" s="2" t="str">
        <f>CONCATENATE(B409," ",IF(ISBLANK(H409),D409,H409)," ", ",")</f>
        <v>numerfg CHAR(1) ,</v>
      </c>
    </row>
    <row r="410" spans="2:9" x14ac:dyDescent="0.25">
      <c r="B410" t="s">
        <v>432</v>
      </c>
      <c r="C410" s="2" t="s">
        <v>942</v>
      </c>
      <c r="D410" t="s">
        <v>298</v>
      </c>
      <c r="E410" t="s">
        <v>4</v>
      </c>
      <c r="F410" s="2">
        <v>8</v>
      </c>
      <c r="G410" t="s">
        <v>569</v>
      </c>
      <c r="H410" s="2" t="s">
        <v>735</v>
      </c>
      <c r="I410" s="2" t="str">
        <f>CONCATENATE(B410," ",IF(ISBLANK(H410),D410,H410)," ", ",")</f>
        <v>pdc NUMBER(8,6) ,</v>
      </c>
    </row>
    <row r="411" spans="2:9" x14ac:dyDescent="0.25">
      <c r="B411" t="s">
        <v>433</v>
      </c>
      <c r="D411" t="s">
        <v>298</v>
      </c>
      <c r="E411" t="s">
        <v>4</v>
      </c>
      <c r="F411" s="2">
        <v>12</v>
      </c>
      <c r="G411" t="s">
        <v>710</v>
      </c>
      <c r="H411" t="s">
        <v>10</v>
      </c>
      <c r="I411" s="2" t="str">
        <f>CONCATENATE(B411," ",IF(ISBLANK(H411),D411,H411)," ", ",")</f>
        <v>proj_compliance VARCHAR(12) ,</v>
      </c>
    </row>
    <row r="412" spans="2:9" x14ac:dyDescent="0.25">
      <c r="B412" t="s">
        <v>434</v>
      </c>
      <c r="D412" t="s">
        <v>298</v>
      </c>
      <c r="E412" t="s">
        <v>4</v>
      </c>
      <c r="F412" s="2">
        <v>1</v>
      </c>
      <c r="G412" t="s">
        <v>576</v>
      </c>
      <c r="H412" s="2" t="s">
        <v>722</v>
      </c>
      <c r="I412" s="2" t="str">
        <f>CONCATENATE(B412," ",IF(ISBLANK(H412),D412,H412)," ", ",")</f>
        <v>unq_mem CHAR(1) ,</v>
      </c>
    </row>
    <row r="413" spans="2:9" x14ac:dyDescent="0.25">
      <c r="B413" t="s">
        <v>435</v>
      </c>
      <c r="C413" s="2" t="s">
        <v>829</v>
      </c>
      <c r="D413" t="s">
        <v>298</v>
      </c>
      <c r="E413" t="s">
        <v>4</v>
      </c>
      <c r="F413" s="2">
        <v>3</v>
      </c>
      <c r="G413" t="s">
        <v>569</v>
      </c>
      <c r="H413" s="2" t="s">
        <v>718</v>
      </c>
      <c r="I413" s="2" t="str">
        <f>CONCATENATE(B413," ",IF(ISBLANK(H413),D413,H413)," ", ",")</f>
        <v>cdays SMALLINT ,</v>
      </c>
    </row>
    <row r="414" spans="2:9" x14ac:dyDescent="0.25">
      <c r="B414" t="s">
        <v>436</v>
      </c>
      <c r="C414" s="2" t="s">
        <v>979</v>
      </c>
      <c r="D414" t="s">
        <v>298</v>
      </c>
      <c r="E414" t="s">
        <v>4</v>
      </c>
      <c r="F414" s="2">
        <v>1</v>
      </c>
      <c r="G414" t="s">
        <v>574</v>
      </c>
      <c r="H414" s="2" t="s">
        <v>722</v>
      </c>
      <c r="I414" s="2" t="str">
        <f>CONCATENATE(B414," ",IF(ISBLANK(H414),D414,H414)," ", ",")</f>
        <v>rx_id_supp CHAR(1) ,</v>
      </c>
    </row>
    <row r="415" spans="2:9" x14ac:dyDescent="0.25">
      <c r="B415" t="s">
        <v>437</v>
      </c>
      <c r="C415" s="2">
        <v>0</v>
      </c>
      <c r="D415" t="s">
        <v>298</v>
      </c>
      <c r="E415" t="s">
        <v>4</v>
      </c>
      <c r="F415" s="2">
        <v>19</v>
      </c>
      <c r="G415" t="s">
        <v>569</v>
      </c>
      <c r="H415" s="2" t="s">
        <v>721</v>
      </c>
      <c r="I415" s="2" t="str">
        <f>CONCATENATE(B415," ",IF(ISBLANK(H415),D415,H415)," ", ",")</f>
        <v>rx_other_last_use TIMESTAMP ,</v>
      </c>
    </row>
    <row r="416" spans="2:9" x14ac:dyDescent="0.25">
      <c r="B416" t="s">
        <v>438</v>
      </c>
      <c r="C416" s="2" t="s">
        <v>964</v>
      </c>
      <c r="D416" t="s">
        <v>298</v>
      </c>
      <c r="E416" t="s">
        <v>4</v>
      </c>
      <c r="F416" s="2">
        <v>35</v>
      </c>
      <c r="G416" t="s">
        <v>569</v>
      </c>
      <c r="H416" t="s">
        <v>730</v>
      </c>
      <c r="I416" s="2" t="str">
        <f>CONCATENATE(B416," ",IF(ISBLANK(H416),D416,H416)," ", ",")</f>
        <v>rx1_id VARCHAR(35) ,</v>
      </c>
    </row>
    <row r="417" spans="2:9" x14ac:dyDescent="0.25">
      <c r="B417" t="s">
        <v>439</v>
      </c>
      <c r="C417" s="2" t="s">
        <v>965</v>
      </c>
      <c r="D417" t="s">
        <v>298</v>
      </c>
      <c r="E417" t="s">
        <v>4</v>
      </c>
      <c r="F417" s="2">
        <v>1</v>
      </c>
      <c r="G417" t="s">
        <v>574</v>
      </c>
      <c r="H417" s="2" t="s">
        <v>722</v>
      </c>
      <c r="I417" s="2" t="str">
        <f>CONCATENATE(B417," ",IF(ISBLANK(H417),D417,H417)," ", ",")</f>
        <v>rx1_id_supp CHAR(1) ,</v>
      </c>
    </row>
    <row r="418" spans="2:9" x14ac:dyDescent="0.25">
      <c r="B418" t="s">
        <v>440</v>
      </c>
      <c r="C418" s="2" t="s">
        <v>966</v>
      </c>
      <c r="D418" t="s">
        <v>298</v>
      </c>
      <c r="E418" t="s">
        <v>4</v>
      </c>
      <c r="F418" s="2">
        <v>35</v>
      </c>
      <c r="G418" t="s">
        <v>711</v>
      </c>
      <c r="H418" s="2" t="s">
        <v>730</v>
      </c>
      <c r="I418" s="2" t="str">
        <f>CONCATENATE(B418," ",IF(ISBLANK(H418),D418,H418)," ", ",")</f>
        <v>rx2_id VARCHAR(35) ,</v>
      </c>
    </row>
    <row r="419" spans="2:9" x14ac:dyDescent="0.25">
      <c r="B419" t="s">
        <v>441</v>
      </c>
      <c r="C419" s="2" t="s">
        <v>967</v>
      </c>
      <c r="D419" t="s">
        <v>298</v>
      </c>
      <c r="E419" t="s">
        <v>4</v>
      </c>
      <c r="F419" s="2">
        <v>1</v>
      </c>
      <c r="G419" t="s">
        <v>574</v>
      </c>
      <c r="H419" s="2" t="s">
        <v>722</v>
      </c>
      <c r="I419" s="2" t="str">
        <f>CONCATENATE(B419," ",IF(ISBLANK(H419),D419,H419)," ", ",")</f>
        <v>rx2_id_supp CHAR(1) ,</v>
      </c>
    </row>
    <row r="420" spans="2:9" x14ac:dyDescent="0.25">
      <c r="B420" t="s">
        <v>442</v>
      </c>
      <c r="C420" s="2" t="s">
        <v>968</v>
      </c>
      <c r="D420" t="s">
        <v>298</v>
      </c>
      <c r="E420" t="s">
        <v>4</v>
      </c>
      <c r="F420" s="2">
        <v>35</v>
      </c>
      <c r="G420" t="s">
        <v>711</v>
      </c>
      <c r="H420" s="2" t="s">
        <v>730</v>
      </c>
      <c r="I420" s="2" t="str">
        <f>CONCATENATE(B420," ",IF(ISBLANK(H420),D420,H420)," ", ",")</f>
        <v>rx3_id VARCHAR(35) ,</v>
      </c>
    </row>
    <row r="421" spans="2:9" x14ac:dyDescent="0.25">
      <c r="B421" t="s">
        <v>443</v>
      </c>
      <c r="C421" s="2" t="s">
        <v>969</v>
      </c>
      <c r="D421" t="s">
        <v>298</v>
      </c>
      <c r="E421" t="s">
        <v>4</v>
      </c>
      <c r="F421" s="2">
        <v>1</v>
      </c>
      <c r="G421" t="s">
        <v>574</v>
      </c>
      <c r="H421" s="2" t="s">
        <v>722</v>
      </c>
      <c r="I421" s="2" t="str">
        <f>CONCATENATE(B421," ",IF(ISBLANK(H421),D421,H421)," ", ",")</f>
        <v>rx3_id_supp CHAR(1) ,</v>
      </c>
    </row>
    <row r="422" spans="2:9" x14ac:dyDescent="0.25">
      <c r="B422" t="s">
        <v>444</v>
      </c>
      <c r="C422" s="2" t="s">
        <v>970</v>
      </c>
      <c r="D422" t="s">
        <v>298</v>
      </c>
      <c r="E422" t="s">
        <v>4</v>
      </c>
      <c r="F422" s="2">
        <v>35</v>
      </c>
      <c r="G422" t="s">
        <v>711</v>
      </c>
      <c r="H422" s="2" t="s">
        <v>730</v>
      </c>
      <c r="I422" s="2" t="str">
        <f>CONCATENATE(B422," ",IF(ISBLANK(H422),D422,H422)," ", ",")</f>
        <v>rx4_id VARCHAR(35) ,</v>
      </c>
    </row>
    <row r="423" spans="2:9" x14ac:dyDescent="0.25">
      <c r="B423" t="s">
        <v>445</v>
      </c>
      <c r="C423" s="2" t="s">
        <v>971</v>
      </c>
      <c r="D423" t="s">
        <v>298</v>
      </c>
      <c r="E423" t="s">
        <v>4</v>
      </c>
      <c r="F423" s="2">
        <v>1</v>
      </c>
      <c r="G423" t="s">
        <v>574</v>
      </c>
      <c r="H423" s="2" t="s">
        <v>722</v>
      </c>
      <c r="I423" s="2" t="str">
        <f>CONCATENATE(B423," ",IF(ISBLANK(H423),D423,H423)," ", ",")</f>
        <v>rx4_id_supp CHAR(1) ,</v>
      </c>
    </row>
    <row r="424" spans="2:9" x14ac:dyDescent="0.25">
      <c r="B424" t="s">
        <v>446</v>
      </c>
      <c r="C424" s="2" t="s">
        <v>1029</v>
      </c>
      <c r="D424" t="s">
        <v>298</v>
      </c>
      <c r="E424" t="s">
        <v>4</v>
      </c>
      <c r="F424" s="2">
        <v>3</v>
      </c>
      <c r="G424" t="s">
        <v>569</v>
      </c>
      <c r="H424" s="2" t="s">
        <v>718</v>
      </c>
      <c r="I424" s="2" t="str">
        <f>CONCATENATE(B424," ",IF(ISBLANK(H424),D424,H424)," ", ",")</f>
        <v>tdays SMALLINT ,</v>
      </c>
    </row>
    <row r="425" spans="2:9" x14ac:dyDescent="0.25">
      <c r="B425" t="s">
        <v>447</v>
      </c>
      <c r="C425" s="2" t="s">
        <v>812</v>
      </c>
      <c r="D425" t="s">
        <v>298</v>
      </c>
      <c r="E425" t="s">
        <v>4</v>
      </c>
      <c r="G425" t="s">
        <v>569</v>
      </c>
      <c r="H425" t="s">
        <v>12</v>
      </c>
      <c r="I425" s="2" t="str">
        <f>CONCATENATE(B425," ",IF(ISBLANK(H425),D425,H425)," ", ",")</f>
        <v>acvcat VARCHAR(10) ,</v>
      </c>
    </row>
    <row r="426" spans="2:9" x14ac:dyDescent="0.25">
      <c r="B426" t="s">
        <v>448</v>
      </c>
      <c r="C426" s="2" t="s">
        <v>840</v>
      </c>
      <c r="D426" t="s">
        <v>298</v>
      </c>
      <c r="E426" t="s">
        <v>4</v>
      </c>
      <c r="F426" s="2">
        <v>1</v>
      </c>
      <c r="G426" t="s">
        <v>574</v>
      </c>
      <c r="H426" s="2" t="s">
        <v>722</v>
      </c>
      <c r="I426" s="2" t="str">
        <f>CONCATENATE(B426," ",IF(ISBLANK(H426),D426,H426)," ", ",")</f>
        <v>correction_admin CHAR(1) ,</v>
      </c>
    </row>
    <row r="427" spans="2:9" x14ac:dyDescent="0.25">
      <c r="B427" t="s">
        <v>449</v>
      </c>
      <c r="C427" s="2" t="s">
        <v>841</v>
      </c>
      <c r="D427" t="s">
        <v>298</v>
      </c>
      <c r="E427" t="s">
        <v>4</v>
      </c>
      <c r="F427" s="2">
        <v>1</v>
      </c>
      <c r="G427" t="s">
        <v>574</v>
      </c>
      <c r="H427" s="2" t="s">
        <v>722</v>
      </c>
      <c r="I427" s="2" t="str">
        <f>CONCATENATE(B427," ",IF(ISBLANK(H427),D427,H427)," ", ",")</f>
        <v>correction_mr CHAR(1) ,</v>
      </c>
    </row>
    <row r="428" spans="2:9" x14ac:dyDescent="0.25">
      <c r="B428" t="s">
        <v>450</v>
      </c>
      <c r="C428" s="2" t="s">
        <v>1032</v>
      </c>
      <c r="D428" t="s">
        <v>298</v>
      </c>
      <c r="E428" t="s">
        <v>4</v>
      </c>
      <c r="F428" s="2">
        <v>7</v>
      </c>
      <c r="G428" t="s">
        <v>569</v>
      </c>
      <c r="H428" s="2" t="s">
        <v>231</v>
      </c>
      <c r="I428" s="2" t="str">
        <f>CONCATENATE(B428," ",IF(ISBLANK(H428),D428,H428)," ", ",")</f>
        <v>text2 VARCHAR(7) ,</v>
      </c>
    </row>
    <row r="429" spans="2:9" x14ac:dyDescent="0.25">
      <c r="B429" t="s">
        <v>451</v>
      </c>
      <c r="C429" s="2" t="s">
        <v>828</v>
      </c>
      <c r="D429" t="s">
        <v>298</v>
      </c>
      <c r="E429" t="s">
        <v>4</v>
      </c>
      <c r="F429" s="2">
        <v>1</v>
      </c>
      <c r="G429" t="s">
        <v>569</v>
      </c>
      <c r="H429" s="2" t="s">
        <v>722</v>
      </c>
      <c r="I429" s="2" t="str">
        <f>CONCATENATE(B429," ",IF(ISBLANK(H429),D429,H429)," ", ",")</f>
        <v>bmdt CHAR(1) ,</v>
      </c>
    </row>
    <row r="430" spans="2:9" x14ac:dyDescent="0.25">
      <c r="B430" t="s">
        <v>452</v>
      </c>
      <c r="C430" s="2" t="s">
        <v>885</v>
      </c>
      <c r="D430" t="s">
        <v>298</v>
      </c>
      <c r="E430" t="s">
        <v>4</v>
      </c>
      <c r="F430" s="2">
        <v>1</v>
      </c>
      <c r="G430" t="s">
        <v>569</v>
      </c>
      <c r="H430" s="2" t="s">
        <v>722</v>
      </c>
      <c r="I430" s="2" t="str">
        <f>CONCATENATE(B430," ",IF(ISBLANK(H430),D430,H430)," ", ",")</f>
        <v>hospfg CHAR(1) ,</v>
      </c>
    </row>
    <row r="431" spans="2:9" x14ac:dyDescent="0.25">
      <c r="B431" t="s">
        <v>453</v>
      </c>
      <c r="C431" s="2" t="s">
        <v>938</v>
      </c>
      <c r="D431" t="s">
        <v>298</v>
      </c>
      <c r="E431" t="s">
        <v>4</v>
      </c>
      <c r="F431" s="2">
        <v>1</v>
      </c>
      <c r="G431" t="s">
        <v>569</v>
      </c>
      <c r="H431" s="2" t="s">
        <v>722</v>
      </c>
      <c r="I431" s="2" t="str">
        <f>CONCATENATE(B431," ",IF(ISBLANK(H431),D431,H431)," ", ",")</f>
        <v>osteorx CHAR(1) ,</v>
      </c>
    </row>
    <row r="432" spans="2:9" x14ac:dyDescent="0.25">
      <c r="B432" t="s">
        <v>454</v>
      </c>
      <c r="C432" s="2" t="s">
        <v>960</v>
      </c>
      <c r="D432" t="s">
        <v>298</v>
      </c>
      <c r="E432" t="s">
        <v>4</v>
      </c>
      <c r="F432" s="2">
        <v>19</v>
      </c>
      <c r="G432" t="s">
        <v>569</v>
      </c>
      <c r="H432" s="2" t="s">
        <v>721</v>
      </c>
      <c r="I432" s="2" t="str">
        <f>CONCATENATE(B432," ",IF(ISBLANK(H432),D432,H432)," ", ",")</f>
        <v>relevant_dt TIMESTAMP ,</v>
      </c>
    </row>
    <row r="433" spans="2:9" x14ac:dyDescent="0.25">
      <c r="B433" t="s">
        <v>455</v>
      </c>
      <c r="C433" s="2" t="s">
        <v>815</v>
      </c>
      <c r="D433" t="s">
        <v>298</v>
      </c>
      <c r="E433" t="s">
        <v>4</v>
      </c>
      <c r="F433" s="2">
        <v>8</v>
      </c>
      <c r="G433" t="s">
        <v>569</v>
      </c>
      <c r="H433" s="2" t="s">
        <v>735</v>
      </c>
      <c r="I433" s="2" t="str">
        <f>CONCATENATE(B433," ",IF(ISBLANK(H433),D433,H433)," ", ",")</f>
        <v>adjusted_prob NUMBER(8,6) ,</v>
      </c>
    </row>
    <row r="434" spans="2:9" x14ac:dyDescent="0.25">
      <c r="B434" t="s">
        <v>456</v>
      </c>
      <c r="D434" t="s">
        <v>298</v>
      </c>
      <c r="E434" t="s">
        <v>4</v>
      </c>
      <c r="F434" s="2">
        <v>3</v>
      </c>
      <c r="G434" t="s">
        <v>569</v>
      </c>
      <c r="H434" s="2" t="s">
        <v>718</v>
      </c>
      <c r="I434" s="2" t="str">
        <f>CONCATENATE(B434," ",IF(ISBLANK(H434),D434,H434)," ", ",")</f>
        <v>discharge_cc_1 SMALLINT ,</v>
      </c>
    </row>
    <row r="435" spans="2:9" x14ac:dyDescent="0.25">
      <c r="B435" t="s">
        <v>457</v>
      </c>
      <c r="D435" t="s">
        <v>298</v>
      </c>
      <c r="E435" t="s">
        <v>4</v>
      </c>
      <c r="F435" s="2">
        <v>3</v>
      </c>
      <c r="G435" t="s">
        <v>575</v>
      </c>
      <c r="H435" s="2" t="s">
        <v>718</v>
      </c>
      <c r="I435" s="2" t="str">
        <f>CONCATENATE(B435," ",IF(ISBLANK(H435),D435,H435)," ", ",")</f>
        <v>discharge_cc_2 SMALLINT ,</v>
      </c>
    </row>
    <row r="436" spans="2:9" x14ac:dyDescent="0.25">
      <c r="B436" t="s">
        <v>458</v>
      </c>
      <c r="D436" t="s">
        <v>298</v>
      </c>
      <c r="E436" t="s">
        <v>4</v>
      </c>
      <c r="F436" s="2">
        <v>3</v>
      </c>
      <c r="G436" t="s">
        <v>575</v>
      </c>
      <c r="H436" s="2" t="s">
        <v>718</v>
      </c>
      <c r="I436" s="2" t="str">
        <f>CONCATENATE(B436," ",IF(ISBLANK(H436),D436,H436)," ", ",")</f>
        <v>discharge_cc_3 SMALLINT ,</v>
      </c>
    </row>
    <row r="437" spans="2:9" x14ac:dyDescent="0.25">
      <c r="B437" t="s">
        <v>459</v>
      </c>
      <c r="D437" t="s">
        <v>298</v>
      </c>
      <c r="E437" t="s">
        <v>4</v>
      </c>
      <c r="F437" s="2">
        <v>40</v>
      </c>
      <c r="G437" t="s">
        <v>569</v>
      </c>
      <c r="H437" t="s">
        <v>732</v>
      </c>
      <c r="I437" s="2" t="str">
        <f>CONCATENATE(B437," ",IF(ISBLANK(H437),D437,H437)," ", ",")</f>
        <v>discharge_cc_desc_1 VARCHAR(20) ,</v>
      </c>
    </row>
    <row r="438" spans="2:9" x14ac:dyDescent="0.25">
      <c r="B438" t="s">
        <v>460</v>
      </c>
      <c r="D438" t="s">
        <v>298</v>
      </c>
      <c r="E438" t="s">
        <v>4</v>
      </c>
      <c r="F438" s="2">
        <v>40</v>
      </c>
      <c r="G438" t="s">
        <v>569</v>
      </c>
      <c r="H438" s="2" t="s">
        <v>732</v>
      </c>
      <c r="I438" s="2" t="str">
        <f>CONCATENATE(B438," ",IF(ISBLANK(H438),D438,H438)," ", ",")</f>
        <v>discharge_cc_desc_2 VARCHAR(20) ,</v>
      </c>
    </row>
    <row r="439" spans="2:9" x14ac:dyDescent="0.25">
      <c r="B439" t="s">
        <v>461</v>
      </c>
      <c r="D439" t="s">
        <v>298</v>
      </c>
      <c r="E439" t="s">
        <v>4</v>
      </c>
      <c r="F439" s="2">
        <v>16</v>
      </c>
      <c r="G439" t="s">
        <v>569</v>
      </c>
      <c r="H439" s="2" t="s">
        <v>732</v>
      </c>
      <c r="I439" s="2" t="str">
        <f>CONCATENATE(B439," ",IF(ISBLANK(H439),D439,H439)," ", ",")</f>
        <v>discharge_cc_desc_3 VARCHAR(20) ,</v>
      </c>
    </row>
    <row r="440" spans="2:9" x14ac:dyDescent="0.25">
      <c r="B440" t="s">
        <v>462</v>
      </c>
      <c r="D440" t="s">
        <v>298</v>
      </c>
      <c r="E440" t="s">
        <v>4</v>
      </c>
      <c r="F440" s="2">
        <v>1</v>
      </c>
      <c r="G440" t="s">
        <v>569</v>
      </c>
      <c r="H440" s="2" t="s">
        <v>722</v>
      </c>
      <c r="I440" s="2" t="str">
        <f>CONCATENATE(B440," ",IF(ISBLANK(H440),D440,H440)," ", ",")</f>
        <v>excl_cnt CHAR(1) ,</v>
      </c>
    </row>
    <row r="441" spans="2:9" x14ac:dyDescent="0.25">
      <c r="B441" t="s">
        <v>463</v>
      </c>
      <c r="C441" s="2" t="s">
        <v>892</v>
      </c>
      <c r="D441" t="s">
        <v>298</v>
      </c>
      <c r="E441" t="s">
        <v>4</v>
      </c>
      <c r="F441" s="2">
        <v>1</v>
      </c>
      <c r="G441" t="s">
        <v>569</v>
      </c>
      <c r="H441" s="2" t="s">
        <v>722</v>
      </c>
      <c r="I441" s="2" t="str">
        <f>CONCATENATE(B441," ",IF(ISBLANK(H441),D441,H441)," ", ",")</f>
        <v>index_stay CHAR(1) ,</v>
      </c>
    </row>
    <row r="442" spans="2:9" x14ac:dyDescent="0.25">
      <c r="B442" t="s">
        <v>464</v>
      </c>
      <c r="C442" s="2" t="s">
        <v>949</v>
      </c>
      <c r="D442" t="s">
        <v>298</v>
      </c>
      <c r="E442" t="s">
        <v>4</v>
      </c>
      <c r="F442" s="2">
        <v>7</v>
      </c>
      <c r="G442" t="s">
        <v>569</v>
      </c>
      <c r="H442" s="2" t="s">
        <v>231</v>
      </c>
      <c r="I442" s="2" t="str">
        <f>CONCATENATE(B442," ",IF(ISBLANK(H442),D442,H442)," ", ",")</f>
        <v>pridx VARCHAR(7) ,</v>
      </c>
    </row>
    <row r="443" spans="2:9" x14ac:dyDescent="0.25">
      <c r="B443" t="s">
        <v>465</v>
      </c>
      <c r="C443" s="2" t="s">
        <v>957</v>
      </c>
      <c r="D443" t="s">
        <v>298</v>
      </c>
      <c r="E443" t="s">
        <v>4</v>
      </c>
      <c r="F443" s="2">
        <v>1</v>
      </c>
      <c r="G443" t="s">
        <v>575</v>
      </c>
      <c r="H443" s="2" t="s">
        <v>722</v>
      </c>
      <c r="I443" s="2" t="str">
        <f>CONCATENATE(B443," ",IF(ISBLANK(H443),D443,H443)," ", ",")</f>
        <v>readmission CHAR(1) ,</v>
      </c>
    </row>
    <row r="444" spans="2:9" x14ac:dyDescent="0.25">
      <c r="B444" t="s">
        <v>466</v>
      </c>
      <c r="C444" s="2" t="s">
        <v>958</v>
      </c>
      <c r="D444" t="s">
        <v>298</v>
      </c>
      <c r="E444" t="s">
        <v>4</v>
      </c>
      <c r="F444" s="2">
        <v>19</v>
      </c>
      <c r="G444" t="s">
        <v>572</v>
      </c>
      <c r="H444" s="2" t="s">
        <v>721</v>
      </c>
      <c r="I444" s="2" t="str">
        <f>CONCATENATE(B444," ",IF(ISBLANK(H444),D444,H444)," ", ",")</f>
        <v>readmt_admit_dt TIMESTAMP ,</v>
      </c>
    </row>
    <row r="445" spans="2:9" x14ac:dyDescent="0.25">
      <c r="B445" t="s">
        <v>467</v>
      </c>
      <c r="C445" s="2" t="s">
        <v>959</v>
      </c>
      <c r="D445" t="s">
        <v>298</v>
      </c>
      <c r="E445" t="s">
        <v>4</v>
      </c>
      <c r="F445" s="2">
        <v>19</v>
      </c>
      <c r="G445" t="s">
        <v>572</v>
      </c>
      <c r="H445" s="2" t="s">
        <v>721</v>
      </c>
      <c r="I445" s="2" t="str">
        <f>CONCATENATE(B445," ",IF(ISBLANK(H445),D445,H445)," ", ",")</f>
        <v>readmt_discharge_dt TIMESTAMP ,</v>
      </c>
    </row>
    <row r="446" spans="2:9" x14ac:dyDescent="0.25">
      <c r="B446" t="s">
        <v>468</v>
      </c>
      <c r="D446" t="s">
        <v>298</v>
      </c>
      <c r="E446" t="s">
        <v>4</v>
      </c>
      <c r="F446" s="2">
        <v>1</v>
      </c>
      <c r="G446" t="s">
        <v>575</v>
      </c>
      <c r="H446" s="2" t="s">
        <v>722</v>
      </c>
      <c r="I446" s="2" t="str">
        <f>CONCATENATE(B446," ",IF(ISBLANK(H446),D446,H446)," ", ",")</f>
        <v>supp_cnt_den CHAR(1) ,</v>
      </c>
    </row>
    <row r="447" spans="2:9" x14ac:dyDescent="0.25">
      <c r="B447" t="s">
        <v>469</v>
      </c>
      <c r="D447" t="s">
        <v>298</v>
      </c>
      <c r="E447" t="s">
        <v>4</v>
      </c>
      <c r="F447" s="2">
        <v>1</v>
      </c>
      <c r="G447" t="s">
        <v>575</v>
      </c>
      <c r="H447" s="2" t="s">
        <v>722</v>
      </c>
      <c r="I447" s="2" t="str">
        <f>CONCATENATE(B447," ",IF(ISBLANK(H447),D447,H447)," ", ",")</f>
        <v>supp_cnt_num CHAR(1) ,</v>
      </c>
    </row>
    <row r="448" spans="2:9" x14ac:dyDescent="0.25">
      <c r="B448" t="s">
        <v>470</v>
      </c>
      <c r="C448" s="2" t="s">
        <v>1028</v>
      </c>
      <c r="D448" t="s">
        <v>298</v>
      </c>
      <c r="E448" t="s">
        <v>4</v>
      </c>
      <c r="F448" s="2">
        <v>1</v>
      </c>
      <c r="G448" t="s">
        <v>569</v>
      </c>
      <c r="H448" s="2" t="s">
        <v>722</v>
      </c>
      <c r="I448" s="2" t="str">
        <f>CONCATENATE(B448," ",IF(ISBLANK(H448),D448,H448)," ", ",")</f>
        <v>surgery CHAR(1) ,</v>
      </c>
    </row>
    <row r="449" spans="2:9" x14ac:dyDescent="0.25">
      <c r="B449" t="s">
        <v>471</v>
      </c>
      <c r="D449" t="s">
        <v>298</v>
      </c>
      <c r="E449" t="s">
        <v>4</v>
      </c>
      <c r="F449" s="2">
        <v>11</v>
      </c>
      <c r="G449" t="s">
        <v>569</v>
      </c>
      <c r="H449" t="s">
        <v>728</v>
      </c>
      <c r="I449" s="2" t="str">
        <f>CONCATENATE(B449," ",IF(ISBLANK(H449),D449,H449)," ", ",")</f>
        <v>variance_ FLOAT ,</v>
      </c>
    </row>
    <row r="450" spans="2:9" x14ac:dyDescent="0.25">
      <c r="B450" t="s">
        <v>472</v>
      </c>
      <c r="C450" s="2" t="s">
        <v>1042</v>
      </c>
      <c r="D450" t="s">
        <v>298</v>
      </c>
      <c r="E450" t="s">
        <v>4</v>
      </c>
      <c r="F450" s="2">
        <v>7</v>
      </c>
      <c r="G450" t="s">
        <v>569</v>
      </c>
      <c r="H450" s="2" t="s">
        <v>735</v>
      </c>
      <c r="I450" s="2" t="str">
        <f>CONCATENATE(B450," ",IF(ISBLANK(H450),D450,H450)," ", ",")</f>
        <v>weight_agesex NUMBER(8,6) ,</v>
      </c>
    </row>
    <row r="451" spans="2:9" x14ac:dyDescent="0.25">
      <c r="B451" t="s">
        <v>473</v>
      </c>
      <c r="D451" t="s">
        <v>298</v>
      </c>
      <c r="E451" t="s">
        <v>4</v>
      </c>
      <c r="F451" s="2">
        <v>7</v>
      </c>
      <c r="G451" t="s">
        <v>569</v>
      </c>
      <c r="H451" s="2" t="s">
        <v>735</v>
      </c>
      <c r="I451" s="2" t="str">
        <f>CONCATENATE(B451," ",IF(ISBLANK(H451),D451,H451)," ", ",")</f>
        <v>weight_base NUMBER(8,6) ,</v>
      </c>
    </row>
    <row r="452" spans="2:9" x14ac:dyDescent="0.25">
      <c r="B452" t="s">
        <v>474</v>
      </c>
      <c r="C452" s="2" t="s">
        <v>1043</v>
      </c>
      <c r="D452" t="s">
        <v>298</v>
      </c>
      <c r="E452" t="s">
        <v>4</v>
      </c>
      <c r="F452" s="2">
        <v>6</v>
      </c>
      <c r="G452" t="s">
        <v>569</v>
      </c>
      <c r="H452" s="2" t="s">
        <v>735</v>
      </c>
      <c r="I452" s="2" t="str">
        <f>CONCATENATE(B452," ",IF(ISBLANK(H452),D452,H452)," ", ",")</f>
        <v>weight_comorbid NUMBER(8,6) ,</v>
      </c>
    </row>
    <row r="453" spans="2:9" x14ac:dyDescent="0.25">
      <c r="B453" t="s">
        <v>475</v>
      </c>
      <c r="D453" t="s">
        <v>298</v>
      </c>
      <c r="E453" t="s">
        <v>4</v>
      </c>
      <c r="F453" s="2">
        <v>7</v>
      </c>
      <c r="G453" t="s">
        <v>569</v>
      </c>
      <c r="H453" s="2" t="s">
        <v>735</v>
      </c>
      <c r="I453" s="2" t="str">
        <f>CONCATENATE(B453," ",IF(ISBLANK(H453),D453,H453)," ", ",")</f>
        <v>weight_pridx_1 NUMBER(8,6) ,</v>
      </c>
    </row>
    <row r="454" spans="2:9" x14ac:dyDescent="0.25">
      <c r="B454" t="s">
        <v>476</v>
      </c>
      <c r="D454" t="s">
        <v>298</v>
      </c>
      <c r="E454" t="s">
        <v>4</v>
      </c>
      <c r="F454" s="2">
        <v>6</v>
      </c>
      <c r="G454" t="s">
        <v>575</v>
      </c>
      <c r="H454" s="2" t="s">
        <v>735</v>
      </c>
      <c r="I454" s="2" t="str">
        <f>CONCATENATE(B454," ",IF(ISBLANK(H454),D454,H454)," ", ",")</f>
        <v>weight_pridx_2 NUMBER(8,6) ,</v>
      </c>
    </row>
    <row r="455" spans="2:9" x14ac:dyDescent="0.25">
      <c r="B455" t="s">
        <v>477</v>
      </c>
      <c r="D455" t="s">
        <v>298</v>
      </c>
      <c r="E455" t="s">
        <v>4</v>
      </c>
      <c r="F455" s="2">
        <v>6</v>
      </c>
      <c r="G455" t="s">
        <v>575</v>
      </c>
      <c r="H455" s="2" t="s">
        <v>735</v>
      </c>
      <c r="I455" s="2" t="str">
        <f>CONCATENATE(B455," ",IF(ISBLANK(H455),D455,H455)," ", ",")</f>
        <v>weight_pridx_3 NUMBER(8,6) ,</v>
      </c>
    </row>
    <row r="456" spans="2:9" x14ac:dyDescent="0.25">
      <c r="B456" t="s">
        <v>478</v>
      </c>
      <c r="C456" s="2" t="s">
        <v>1044</v>
      </c>
      <c r="D456" t="s">
        <v>298</v>
      </c>
      <c r="E456" t="s">
        <v>4</v>
      </c>
      <c r="F456" s="2">
        <v>7</v>
      </c>
      <c r="G456" t="s">
        <v>569</v>
      </c>
      <c r="H456" s="2" t="s">
        <v>735</v>
      </c>
      <c r="I456" s="2" t="str">
        <f>CONCATENATE(B456," ",IF(ISBLANK(H456),D456,H456)," ", ",")</f>
        <v>weight_surgery NUMBER(8,6) ,</v>
      </c>
    </row>
    <row r="457" spans="2:9" x14ac:dyDescent="0.25">
      <c r="B457" t="s">
        <v>479</v>
      </c>
      <c r="C457" s="2" t="s">
        <v>1045</v>
      </c>
      <c r="D457" t="s">
        <v>298</v>
      </c>
      <c r="E457" t="s">
        <v>4</v>
      </c>
      <c r="F457" s="2">
        <v>8</v>
      </c>
      <c r="G457" t="s">
        <v>569</v>
      </c>
      <c r="H457" s="2" t="s">
        <v>735</v>
      </c>
      <c r="I457" s="2" t="str">
        <f>CONCATENATE(B457," ",IF(ISBLANK(H457),D457,H457)," ", ",")</f>
        <v>weight_total NUMBER(8,6) ,</v>
      </c>
    </row>
    <row r="458" spans="2:9" x14ac:dyDescent="0.25">
      <c r="B458" t="s">
        <v>480</v>
      </c>
      <c r="C458" s="2" t="s">
        <v>765</v>
      </c>
      <c r="D458" t="s">
        <v>298</v>
      </c>
      <c r="E458" t="s">
        <v>4</v>
      </c>
      <c r="G458" t="s">
        <v>569</v>
      </c>
      <c r="H458" t="s">
        <v>6</v>
      </c>
      <c r="I458" s="2" t="str">
        <f>CONCATENATE(B458," ",IF(ISBLANK(H458),D458,H458)," ", ",")</f>
        <v>drug_id VARCHAR(8) ,</v>
      </c>
    </row>
    <row r="459" spans="2:9" x14ac:dyDescent="0.25">
      <c r="B459" t="s">
        <v>481</v>
      </c>
      <c r="C459" s="2" t="s">
        <v>862</v>
      </c>
      <c r="D459" t="s">
        <v>298</v>
      </c>
      <c r="E459" t="s">
        <v>4</v>
      </c>
      <c r="F459" s="2">
        <v>1</v>
      </c>
      <c r="G459" t="s">
        <v>574</v>
      </c>
      <c r="H459" s="2" t="s">
        <v>722</v>
      </c>
      <c r="I459" s="2" t="str">
        <f>CONCATENATE(B459," ",IF(ISBLANK(H459),D459,H459)," ", ",")</f>
        <v>end_death CHAR(1) ,</v>
      </c>
    </row>
    <row r="460" spans="2:9" x14ac:dyDescent="0.25">
      <c r="B460" t="s">
        <v>482</v>
      </c>
      <c r="C460" s="2" t="s">
        <v>766</v>
      </c>
      <c r="D460" t="s">
        <v>298</v>
      </c>
      <c r="E460" t="s">
        <v>4</v>
      </c>
      <c r="F460" s="2">
        <v>1</v>
      </c>
      <c r="G460" t="s">
        <v>573</v>
      </c>
      <c r="H460" s="2" t="s">
        <v>722</v>
      </c>
      <c r="I460" s="2" t="str">
        <f>CONCATENATE(B460," ",IF(ISBLANK(H460),D460,H460)," ", ",")</f>
        <v>end_enrl CHAR(1) ,</v>
      </c>
    </row>
    <row r="461" spans="2:9" x14ac:dyDescent="0.25">
      <c r="B461" t="s">
        <v>483</v>
      </c>
      <c r="C461" s="2" t="s">
        <v>766</v>
      </c>
      <c r="D461" t="s">
        <v>298</v>
      </c>
      <c r="E461" t="s">
        <v>4</v>
      </c>
      <c r="F461" s="2">
        <v>1</v>
      </c>
      <c r="G461" t="s">
        <v>574</v>
      </c>
      <c r="H461" s="2" t="s">
        <v>722</v>
      </c>
      <c r="I461" s="2" t="str">
        <f>CONCATENATE(B461," ",IF(ISBLANK(H461),D461,H461)," ", ",")</f>
        <v>end_po CHAR(1) ,</v>
      </c>
    </row>
    <row r="462" spans="2:9" x14ac:dyDescent="0.25">
      <c r="B462" t="s">
        <v>484</v>
      </c>
      <c r="C462" s="2" t="s">
        <v>766</v>
      </c>
      <c r="D462" t="s">
        <v>298</v>
      </c>
      <c r="E462" t="s">
        <v>4</v>
      </c>
      <c r="F462" s="2">
        <v>1</v>
      </c>
      <c r="G462" t="s">
        <v>574</v>
      </c>
      <c r="H462" s="2" t="s">
        <v>722</v>
      </c>
      <c r="I462" s="2" t="str">
        <f>CONCATENATE(B462," ",IF(ISBLANK(H462),D462,H462)," ", ",")</f>
        <v>end_rx CHAR(1) ,</v>
      </c>
    </row>
    <row r="463" spans="2:9" x14ac:dyDescent="0.25">
      <c r="B463" t="s">
        <v>485</v>
      </c>
      <c r="C463" s="2" t="s">
        <v>766</v>
      </c>
      <c r="D463" t="s">
        <v>298</v>
      </c>
      <c r="E463" t="s">
        <v>4</v>
      </c>
      <c r="F463" s="2">
        <v>1</v>
      </c>
      <c r="G463" t="s">
        <v>571</v>
      </c>
      <c r="H463" s="2" t="s">
        <v>722</v>
      </c>
      <c r="I463" s="2" t="str">
        <f>CONCATENATE(B463," ",IF(ISBLANK(H463),D463,H463)," ", ",")</f>
        <v>end_ryend CHAR(1) ,</v>
      </c>
    </row>
    <row r="464" spans="2:9" x14ac:dyDescent="0.25">
      <c r="B464" t="s">
        <v>486</v>
      </c>
      <c r="C464" s="2" t="s">
        <v>771</v>
      </c>
      <c r="D464" t="s">
        <v>298</v>
      </c>
      <c r="E464" t="s">
        <v>4</v>
      </c>
      <c r="F464" s="2">
        <v>19</v>
      </c>
      <c r="G464" t="s">
        <v>636</v>
      </c>
      <c r="H464" s="2" t="s">
        <v>721</v>
      </c>
      <c r="I464" s="2" t="str">
        <f>CONCATENATE(B464," ",IF(ISBLANK(H464),D464,H464)," ", ",")</f>
        <v>mmpend TIMESTAMP ,</v>
      </c>
    </row>
    <row r="465" spans="2:9" x14ac:dyDescent="0.25">
      <c r="B465" t="s">
        <v>487</v>
      </c>
      <c r="C465" s="2" t="s">
        <v>963</v>
      </c>
      <c r="D465" t="s">
        <v>298</v>
      </c>
      <c r="E465" t="s">
        <v>4</v>
      </c>
      <c r="F465" s="2">
        <v>27</v>
      </c>
      <c r="G465" t="s">
        <v>711</v>
      </c>
      <c r="H465" t="s">
        <v>731</v>
      </c>
      <c r="I465" s="2" t="str">
        <f>CONCATENATE(B465," ",IF(ISBLANK(H465),D465,H465)," ", ",")</f>
        <v>rx10_id VARCHAR(27) ,</v>
      </c>
    </row>
    <row r="466" spans="2:9" x14ac:dyDescent="0.25">
      <c r="B466" t="s">
        <v>488</v>
      </c>
      <c r="C466" s="2" t="s">
        <v>972</v>
      </c>
      <c r="D466" t="s">
        <v>298</v>
      </c>
      <c r="E466" t="s">
        <v>4</v>
      </c>
      <c r="F466" s="2">
        <v>27</v>
      </c>
      <c r="G466" t="s">
        <v>711</v>
      </c>
      <c r="H466" s="2" t="s">
        <v>731</v>
      </c>
      <c r="I466" s="2" t="str">
        <f>CONCATENATE(B466," ",IF(ISBLANK(H466),D466,H466)," ", ",")</f>
        <v>rx5_id VARCHAR(27) ,</v>
      </c>
    </row>
    <row r="467" spans="2:9" x14ac:dyDescent="0.25">
      <c r="B467" t="s">
        <v>489</v>
      </c>
      <c r="C467" s="2" t="s">
        <v>973</v>
      </c>
      <c r="D467" t="s">
        <v>298</v>
      </c>
      <c r="E467" t="s">
        <v>4</v>
      </c>
      <c r="F467" s="2">
        <v>27</v>
      </c>
      <c r="G467" t="s">
        <v>711</v>
      </c>
      <c r="H467" s="2" t="s">
        <v>731</v>
      </c>
      <c r="I467" s="2" t="str">
        <f>CONCATENATE(B467," ",IF(ISBLANK(H467),D467,H467)," ", ",")</f>
        <v>rx6_id VARCHAR(27) ,</v>
      </c>
    </row>
    <row r="468" spans="2:9" x14ac:dyDescent="0.25">
      <c r="B468" t="s">
        <v>490</v>
      </c>
      <c r="C468" s="2" t="s">
        <v>974</v>
      </c>
      <c r="D468" t="s">
        <v>298</v>
      </c>
      <c r="E468" t="s">
        <v>4</v>
      </c>
      <c r="F468" s="2">
        <v>27</v>
      </c>
      <c r="G468" t="s">
        <v>711</v>
      </c>
      <c r="H468" s="2" t="s">
        <v>731</v>
      </c>
      <c r="I468" s="2" t="str">
        <f>CONCATENATE(B468," ",IF(ISBLANK(H468),D468,H468)," ", ",")</f>
        <v>rx7_id VARCHAR(27) ,</v>
      </c>
    </row>
    <row r="469" spans="2:9" x14ac:dyDescent="0.25">
      <c r="B469" t="s">
        <v>491</v>
      </c>
      <c r="C469" s="2" t="s">
        <v>975</v>
      </c>
      <c r="D469" t="s">
        <v>298</v>
      </c>
      <c r="E469" t="s">
        <v>4</v>
      </c>
      <c r="F469" s="2">
        <v>27</v>
      </c>
      <c r="G469" t="s">
        <v>711</v>
      </c>
      <c r="H469" s="2" t="s">
        <v>731</v>
      </c>
      <c r="I469" s="2" t="str">
        <f>CONCATENATE(B469," ",IF(ISBLANK(H469),D469,H469)," ", ",")</f>
        <v>rx8_id VARCHAR(27) ,</v>
      </c>
    </row>
    <row r="470" spans="2:9" x14ac:dyDescent="0.25">
      <c r="B470" t="s">
        <v>492</v>
      </c>
      <c r="C470" s="2" t="s">
        <v>976</v>
      </c>
      <c r="D470" t="s">
        <v>298</v>
      </c>
      <c r="E470" t="s">
        <v>4</v>
      </c>
      <c r="F470" s="2">
        <v>27</v>
      </c>
      <c r="G470" t="s">
        <v>711</v>
      </c>
      <c r="H470" s="2" t="s">
        <v>731</v>
      </c>
      <c r="I470" s="2" t="str">
        <f>CONCATENATE(B470," ",IF(ISBLANK(H470),D470,H470)," ", ",")</f>
        <v>rx9_id VARCHAR(27) ,</v>
      </c>
    </row>
    <row r="471" spans="2:9" x14ac:dyDescent="0.25">
      <c r="B471" t="s">
        <v>493</v>
      </c>
      <c r="C471" s="2" t="s">
        <v>864</v>
      </c>
      <c r="D471" t="s">
        <v>298</v>
      </c>
      <c r="E471" t="s">
        <v>4</v>
      </c>
      <c r="F471" s="2">
        <v>1</v>
      </c>
      <c r="G471" t="s">
        <v>628</v>
      </c>
      <c r="H471" s="2" t="s">
        <v>722</v>
      </c>
      <c r="I471" s="2" t="str">
        <f>CONCATENATE(B471," ",IF(ISBLANK(H471),D471,H471)," ", ",")</f>
        <v>enfg1 CHAR(1) ,</v>
      </c>
    </row>
    <row r="472" spans="2:9" x14ac:dyDescent="0.25">
      <c r="B472" t="s">
        <v>494</v>
      </c>
      <c r="C472" s="2" t="s">
        <v>865</v>
      </c>
      <c r="D472" t="s">
        <v>298</v>
      </c>
      <c r="E472" t="s">
        <v>4</v>
      </c>
      <c r="F472" s="2">
        <v>1</v>
      </c>
      <c r="G472" t="s">
        <v>628</v>
      </c>
      <c r="H472" s="2" t="s">
        <v>722</v>
      </c>
      <c r="I472" s="2" t="str">
        <f>CONCATENATE(B472," ",IF(ISBLANK(H472),D472,H472)," ", ",")</f>
        <v>enfg2 CHAR(1) ,</v>
      </c>
    </row>
    <row r="473" spans="2:9" x14ac:dyDescent="0.25">
      <c r="B473" t="s">
        <v>495</v>
      </c>
      <c r="C473" s="2" t="s">
        <v>923</v>
      </c>
      <c r="D473" t="s">
        <v>298</v>
      </c>
      <c r="E473" t="s">
        <v>4</v>
      </c>
      <c r="F473" s="2">
        <v>2</v>
      </c>
      <c r="G473" t="s">
        <v>712</v>
      </c>
      <c r="H473" s="2" t="s">
        <v>718</v>
      </c>
      <c r="I473" s="2" t="str">
        <f>CONCATENATE(B473," ",IF(ISBLANK(H473),D473,H473)," ", ",")</f>
        <v>months SMALLINT ,</v>
      </c>
    </row>
    <row r="474" spans="2:9" x14ac:dyDescent="0.25">
      <c r="B474" t="s">
        <v>496</v>
      </c>
      <c r="C474" s="2" t="s">
        <v>940</v>
      </c>
      <c r="D474" t="s">
        <v>298</v>
      </c>
      <c r="E474" t="s">
        <v>4</v>
      </c>
      <c r="F474" s="2">
        <v>1</v>
      </c>
      <c r="G474" t="s">
        <v>628</v>
      </c>
      <c r="H474" s="2" t="s">
        <v>722</v>
      </c>
      <c r="I474" s="2" t="str">
        <f>CONCATENATE(B474," ",IF(ISBLANK(H474),D474,H474)," ", ",")</f>
        <v>p2yce0 CHAR(1) ,</v>
      </c>
    </row>
    <row r="475" spans="2:9" x14ac:dyDescent="0.25">
      <c r="B475" t="s">
        <v>497</v>
      </c>
      <c r="C475" s="2" t="s">
        <v>941</v>
      </c>
      <c r="D475" t="s">
        <v>298</v>
      </c>
      <c r="E475" t="s">
        <v>4</v>
      </c>
      <c r="F475" s="2">
        <v>1</v>
      </c>
      <c r="G475" t="s">
        <v>628</v>
      </c>
      <c r="H475" s="2" t="s">
        <v>722</v>
      </c>
      <c r="I475" s="2" t="str">
        <f>CONCATENATE(B475," ",IF(ISBLANK(H475),D475,H475)," ", ",")</f>
        <v>p2yce1 CHAR(1) ,</v>
      </c>
    </row>
    <row r="476" spans="2:9" x14ac:dyDescent="0.25">
      <c r="B476" t="s">
        <v>498</v>
      </c>
      <c r="C476" s="2" t="s">
        <v>950</v>
      </c>
      <c r="D476" t="s">
        <v>298</v>
      </c>
      <c r="E476" t="s">
        <v>4</v>
      </c>
      <c r="F476" s="2">
        <v>1</v>
      </c>
      <c r="G476" t="s">
        <v>628</v>
      </c>
      <c r="H476" s="2" t="s">
        <v>722</v>
      </c>
      <c r="I476" s="2" t="str">
        <f>CONCATENATE(B476," ",IF(ISBLANK(H476),D476,H476)," ", ",")</f>
        <v>pyce0 CHAR(1) ,</v>
      </c>
    </row>
    <row r="477" spans="2:9" x14ac:dyDescent="0.25">
      <c r="B477" t="s">
        <v>499</v>
      </c>
      <c r="C477" s="2" t="s">
        <v>951</v>
      </c>
      <c r="D477" t="s">
        <v>298</v>
      </c>
      <c r="E477" t="s">
        <v>4</v>
      </c>
      <c r="F477" s="2">
        <v>1</v>
      </c>
      <c r="G477" t="s">
        <v>628</v>
      </c>
      <c r="H477" s="2" t="s">
        <v>722</v>
      </c>
      <c r="I477" s="2" t="str">
        <f>CONCATENATE(B477," ",IF(ISBLANK(H477),D477,H477)," ", ",")</f>
        <v>pyce1 CHAR(1) ,</v>
      </c>
    </row>
    <row r="478" spans="2:9" x14ac:dyDescent="0.25">
      <c r="B478" t="s">
        <v>500</v>
      </c>
      <c r="C478" s="2" t="s">
        <v>981</v>
      </c>
      <c r="D478" t="s">
        <v>298</v>
      </c>
      <c r="E478" t="s">
        <v>4</v>
      </c>
      <c r="F478" s="2">
        <v>1</v>
      </c>
      <c r="G478" t="s">
        <v>628</v>
      </c>
      <c r="H478" s="2" t="s">
        <v>722</v>
      </c>
      <c r="I478" s="2" t="str">
        <f>CONCATENATE(B478," ",IF(ISBLANK(H478),D478,H478)," ", ",")</f>
        <v>ryce0 CHAR(1) ,</v>
      </c>
    </row>
    <row r="479" spans="2:9" x14ac:dyDescent="0.25">
      <c r="B479" t="s">
        <v>501</v>
      </c>
      <c r="C479" s="2" t="s">
        <v>982</v>
      </c>
      <c r="D479" t="s">
        <v>298</v>
      </c>
      <c r="E479" t="s">
        <v>4</v>
      </c>
      <c r="F479" s="2">
        <v>1</v>
      </c>
      <c r="G479" t="s">
        <v>628</v>
      </c>
      <c r="H479" s="2" t="s">
        <v>722</v>
      </c>
      <c r="I479" s="2" t="str">
        <f>CONCATENATE(B479," ",IF(ISBLANK(H479),D479,H479)," ", ",")</f>
        <v>ryce1 CHAR(1) ,</v>
      </c>
    </row>
    <row r="480" spans="2:9" x14ac:dyDescent="0.25">
      <c r="B480" t="s">
        <v>502</v>
      </c>
      <c r="C480" s="2" t="s">
        <v>851</v>
      </c>
      <c r="D480" t="s">
        <v>298</v>
      </c>
      <c r="E480" t="s">
        <v>4</v>
      </c>
      <c r="F480" s="2">
        <v>19</v>
      </c>
      <c r="G480" t="s">
        <v>569</v>
      </c>
      <c r="H480" s="2" t="s">
        <v>721</v>
      </c>
      <c r="I480" s="2" t="str">
        <f>CONCATENATE(B480," ",IF(ISBLANK(H480),D480,H480)," ", ",")</f>
        <v>date6 TIMESTAMP ,</v>
      </c>
    </row>
    <row r="481" spans="2:9" x14ac:dyDescent="0.25">
      <c r="B481" t="s">
        <v>503</v>
      </c>
      <c r="C481" s="2" t="s">
        <v>852</v>
      </c>
      <c r="D481" t="s">
        <v>298</v>
      </c>
      <c r="E481" t="s">
        <v>4</v>
      </c>
      <c r="F481" s="2">
        <v>19</v>
      </c>
      <c r="G481" t="s">
        <v>569</v>
      </c>
      <c r="H481" s="2" t="s">
        <v>721</v>
      </c>
      <c r="I481" s="2" t="str">
        <f>CONCATENATE(B481," ",IF(ISBLANK(H481),D481,H481)," ", ",")</f>
        <v>date7 TIMESTAMP ,</v>
      </c>
    </row>
    <row r="482" spans="2:9" x14ac:dyDescent="0.25">
      <c r="B482" t="s">
        <v>504</v>
      </c>
      <c r="D482" t="s">
        <v>298</v>
      </c>
      <c r="E482" t="s">
        <v>4</v>
      </c>
      <c r="F482" s="2">
        <v>1</v>
      </c>
      <c r="G482" t="s">
        <v>569</v>
      </c>
      <c r="H482" s="2" t="s">
        <v>722</v>
      </c>
      <c r="I482" s="2" t="str">
        <f>CONCATENATE(B482," ",IF(ISBLANK(H482),D482,H482)," ", ",")</f>
        <v>supppsa CHAR(1) ,</v>
      </c>
    </row>
    <row r="483" spans="2:9" x14ac:dyDescent="0.25">
      <c r="B483" t="s">
        <v>505</v>
      </c>
      <c r="D483" t="s">
        <v>298</v>
      </c>
      <c r="E483" t="s">
        <v>4</v>
      </c>
      <c r="F483" s="2">
        <v>19</v>
      </c>
      <c r="G483" t="s">
        <v>569</v>
      </c>
      <c r="H483" s="2" t="s">
        <v>721</v>
      </c>
      <c r="I483" s="2" t="str">
        <f>CONCATENATE(B483," ",IF(ISBLANK(H483),D483,H483)," ", ",")</f>
        <v>dsrl1 TIMESTAMP ,</v>
      </c>
    </row>
    <row r="484" spans="2:9" x14ac:dyDescent="0.25">
      <c r="B484" t="s">
        <v>506</v>
      </c>
      <c r="D484" t="s">
        <v>298</v>
      </c>
      <c r="E484" t="s">
        <v>4</v>
      </c>
      <c r="F484" s="2">
        <v>19</v>
      </c>
      <c r="G484" t="s">
        <v>569</v>
      </c>
      <c r="H484" s="2" t="s">
        <v>721</v>
      </c>
      <c r="I484" s="2" t="str">
        <f>CONCATENATE(B484," ",IF(ISBLANK(H484),D484,H484)," ", ",")</f>
        <v>dsrl2 TIMESTAMP ,</v>
      </c>
    </row>
    <row r="485" spans="2:9" x14ac:dyDescent="0.25">
      <c r="B485" t="s">
        <v>507</v>
      </c>
      <c r="D485" t="s">
        <v>298</v>
      </c>
      <c r="E485" t="s">
        <v>4</v>
      </c>
      <c r="F485" s="2">
        <v>19</v>
      </c>
      <c r="G485" t="s">
        <v>569</v>
      </c>
      <c r="H485" s="2" t="s">
        <v>721</v>
      </c>
      <c r="I485" s="2" t="str">
        <f>CONCATENATE(B485," ",IF(ISBLANK(H485),D485,H485)," ", ",")</f>
        <v>enrl1 TIMESTAMP ,</v>
      </c>
    </row>
    <row r="486" spans="2:9" x14ac:dyDescent="0.25">
      <c r="B486" t="s">
        <v>508</v>
      </c>
      <c r="D486" t="s">
        <v>298</v>
      </c>
      <c r="E486" t="s">
        <v>4</v>
      </c>
      <c r="F486" s="2">
        <v>19</v>
      </c>
      <c r="G486" t="s">
        <v>569</v>
      </c>
      <c r="H486" s="2" t="s">
        <v>721</v>
      </c>
      <c r="I486" s="2" t="str">
        <f>CONCATENATE(B486," ",IF(ISBLANK(H486),D486,H486)," ", ",")</f>
        <v>enrl2 TIMESTAMP ,</v>
      </c>
    </row>
    <row r="487" spans="2:9" x14ac:dyDescent="0.25">
      <c r="B487" t="s">
        <v>509</v>
      </c>
      <c r="C487" s="2" t="s">
        <v>816</v>
      </c>
      <c r="D487" t="s">
        <v>298</v>
      </c>
      <c r="E487" t="s">
        <v>4</v>
      </c>
      <c r="F487" s="2">
        <v>19</v>
      </c>
      <c r="G487" t="s">
        <v>572</v>
      </c>
      <c r="H487" s="2" t="s">
        <v>721</v>
      </c>
      <c r="I487" s="2" t="str">
        <f>CONCATENATE(B487," ",IF(ISBLANK(H487),D487,H487)," ", ",")</f>
        <v>admitdt TIMESTAMP ,</v>
      </c>
    </row>
    <row r="488" spans="2:9" x14ac:dyDescent="0.25">
      <c r="B488" t="s">
        <v>510</v>
      </c>
      <c r="C488" s="2" t="s">
        <v>861</v>
      </c>
      <c r="D488" t="s">
        <v>298</v>
      </c>
      <c r="E488" t="s">
        <v>4</v>
      </c>
      <c r="F488" s="2">
        <v>1</v>
      </c>
      <c r="G488" t="s">
        <v>569</v>
      </c>
      <c r="H488" s="2" t="s">
        <v>722</v>
      </c>
      <c r="I488" s="2" t="str">
        <f>CONCATENATE(B488," ",IF(ISBLANK(H488),D488,H488)," ", ",")</f>
        <v>disfnd CHAR(1) ,</v>
      </c>
    </row>
    <row r="489" spans="2:9" x14ac:dyDescent="0.25">
      <c r="B489" t="s">
        <v>511</v>
      </c>
      <c r="C489" s="2" t="s">
        <v>988</v>
      </c>
      <c r="D489" t="s">
        <v>298</v>
      </c>
      <c r="E489" t="s">
        <v>4</v>
      </c>
      <c r="F489" s="2">
        <v>1</v>
      </c>
      <c r="G489" t="s">
        <v>569</v>
      </c>
      <c r="H489" s="2" t="s">
        <v>722</v>
      </c>
      <c r="I489" s="2" t="str">
        <f>CONCATENATE(B489," ",IF(ISBLANK(H489),D489,H489)," ", ",")</f>
        <v>sercnt CHAR(1) ,</v>
      </c>
    </row>
    <row r="490" spans="2:9" x14ac:dyDescent="0.25">
      <c r="B490" t="s">
        <v>512</v>
      </c>
      <c r="D490" t="s">
        <v>298</v>
      </c>
      <c r="E490" t="s">
        <v>4</v>
      </c>
      <c r="F490" s="2">
        <v>19</v>
      </c>
      <c r="G490" t="s">
        <v>569</v>
      </c>
      <c r="H490" s="2" t="s">
        <v>721</v>
      </c>
      <c r="I490" s="2" t="str">
        <f>CONCATENATE(B490," ",IF(ISBLANK(H490),D490,H490)," ", ",")</f>
        <v>svcdt_hba1c TIMESTAMP ,</v>
      </c>
    </row>
    <row r="491" spans="2:9" x14ac:dyDescent="0.25">
      <c r="B491" t="s">
        <v>513</v>
      </c>
      <c r="D491" t="s">
        <v>298</v>
      </c>
      <c r="E491" t="s">
        <v>4</v>
      </c>
      <c r="F491" s="2">
        <v>19</v>
      </c>
      <c r="G491" t="s">
        <v>569</v>
      </c>
      <c r="H491" s="2" t="s">
        <v>721</v>
      </c>
      <c r="I491" s="2" t="str">
        <f>CONCATENATE(B491," ",IF(ISBLANK(H491),D491,H491)," ", ",")</f>
        <v>svcdt_ldlc TIMESTAMP ,</v>
      </c>
    </row>
    <row r="492" spans="2:9" x14ac:dyDescent="0.25">
      <c r="B492" t="s">
        <v>514</v>
      </c>
      <c r="D492" t="s">
        <v>298</v>
      </c>
      <c r="E492" t="s">
        <v>4</v>
      </c>
      <c r="F492" s="2">
        <v>3</v>
      </c>
      <c r="G492" t="s">
        <v>569</v>
      </c>
      <c r="H492" s="2" t="s">
        <v>718</v>
      </c>
      <c r="I492" s="2" t="str">
        <f>CONCATENATE(B492," ",IF(ISBLANK(H492),D492,H492)," ", ",")</f>
        <v>covdays SMALLINT ,</v>
      </c>
    </row>
    <row r="493" spans="2:9" x14ac:dyDescent="0.25">
      <c r="B493" t="s">
        <v>515</v>
      </c>
      <c r="D493" t="s">
        <v>298</v>
      </c>
      <c r="E493" t="s">
        <v>4</v>
      </c>
      <c r="F493" s="2">
        <v>19</v>
      </c>
      <c r="G493" t="s">
        <v>569</v>
      </c>
      <c r="H493" s="2" t="s">
        <v>721</v>
      </c>
      <c r="I493" s="2" t="str">
        <f>CONCATENATE(B493," ",IF(ISBLANK(H493),D493,H493)," ", ",")</f>
        <v>rxend TIMESTAMP ,</v>
      </c>
    </row>
    <row r="494" spans="2:9" x14ac:dyDescent="0.25">
      <c r="B494" t="s">
        <v>516</v>
      </c>
      <c r="D494" t="s">
        <v>298</v>
      </c>
      <c r="E494" t="s">
        <v>4</v>
      </c>
      <c r="F494" s="2">
        <v>19</v>
      </c>
      <c r="G494" t="s">
        <v>569</v>
      </c>
      <c r="H494" s="2" t="s">
        <v>721</v>
      </c>
      <c r="I494" s="2" t="str">
        <f>CONCATENATE(B494," ",IF(ISBLANK(H494),D494,H494)," ", ",")</f>
        <v>rxstart TIMESTAMP ,</v>
      </c>
    </row>
    <row r="495" spans="2:9" x14ac:dyDescent="0.25">
      <c r="B495" t="s">
        <v>517</v>
      </c>
      <c r="D495" t="s">
        <v>298</v>
      </c>
      <c r="E495" t="s">
        <v>4</v>
      </c>
      <c r="F495" s="2">
        <v>1</v>
      </c>
      <c r="G495" t="s">
        <v>574</v>
      </c>
      <c r="H495" s="2" t="s">
        <v>722</v>
      </c>
      <c r="I495" s="2" t="str">
        <f>CONCATENATE(B495," ",IF(ISBLANK(H495),D495,H495)," ", ",")</f>
        <v>suppn CHAR(1) ,</v>
      </c>
    </row>
    <row r="496" spans="2:9" x14ac:dyDescent="0.25">
      <c r="B496" t="s">
        <v>518</v>
      </c>
      <c r="D496" t="s">
        <v>298</v>
      </c>
      <c r="E496" t="s">
        <v>4</v>
      </c>
      <c r="F496" s="2">
        <v>3</v>
      </c>
      <c r="G496" t="s">
        <v>569</v>
      </c>
      <c r="H496" s="2" t="s">
        <v>718</v>
      </c>
      <c r="I496" s="2" t="str">
        <f>CONCATENATE(B496," ",IF(ISBLANK(H496),D496,H496)," ", ",")</f>
        <v>totdays SMALLINT ,</v>
      </c>
    </row>
    <row r="497" spans="2:9" x14ac:dyDescent="0.25">
      <c r="B497" t="s">
        <v>519</v>
      </c>
      <c r="D497" t="s">
        <v>298</v>
      </c>
      <c r="E497" t="s">
        <v>4</v>
      </c>
      <c r="F497" s="2">
        <v>19</v>
      </c>
      <c r="G497" t="s">
        <v>569</v>
      </c>
      <c r="H497" s="2" t="s">
        <v>721</v>
      </c>
      <c r="I497" s="2" t="str">
        <f>CONCATENATE(B497," ",IF(ISBLANK(H497),D497,H497)," ", ",")</f>
        <v>dischdt TIMESTAMP ,</v>
      </c>
    </row>
    <row r="498" spans="2:9" x14ac:dyDescent="0.25">
      <c r="B498" t="s">
        <v>520</v>
      </c>
      <c r="C498" s="2" t="s">
        <v>863</v>
      </c>
      <c r="D498" t="s">
        <v>298</v>
      </c>
      <c r="E498" t="s">
        <v>4</v>
      </c>
      <c r="F498" s="2">
        <v>19</v>
      </c>
      <c r="G498" t="s">
        <v>569</v>
      </c>
      <c r="H498" s="2" t="s">
        <v>721</v>
      </c>
      <c r="I498" s="2" t="str">
        <f>CONCATENATE(B498," ",IF(ISBLANK(H498),D498,H498)," ", ",")</f>
        <v>endhx TIMESTAMP ,</v>
      </c>
    </row>
    <row r="499" spans="2:9" x14ac:dyDescent="0.25">
      <c r="B499" t="s">
        <v>521</v>
      </c>
      <c r="D499" t="s">
        <v>298</v>
      </c>
      <c r="E499" t="s">
        <v>4</v>
      </c>
      <c r="F499" s="2">
        <v>1</v>
      </c>
      <c r="G499" t="s">
        <v>569</v>
      </c>
      <c r="H499" s="2" t="s">
        <v>722</v>
      </c>
      <c r="I499" s="2" t="str">
        <f>CONCATENATE(B499," ",IF(ISBLANK(H499),D499,H499)," ", ",")</f>
        <v>excl_ CHAR(1) ,</v>
      </c>
    </row>
    <row r="500" spans="2:9" x14ac:dyDescent="0.25">
      <c r="B500" t="s">
        <v>522</v>
      </c>
      <c r="C500" s="2" t="s">
        <v>835</v>
      </c>
      <c r="D500" t="s">
        <v>298</v>
      </c>
      <c r="E500" t="s">
        <v>4</v>
      </c>
      <c r="F500" s="2">
        <v>1</v>
      </c>
      <c r="G500" t="s">
        <v>569</v>
      </c>
      <c r="H500" s="2" t="s">
        <v>722</v>
      </c>
      <c r="I500" s="2" t="str">
        <f>CONCATENATE(B500," ",IF(ISBLANK(H500),D500,H500)," ", ",")</f>
        <v>comm CHAR(1) ,</v>
      </c>
    </row>
    <row r="501" spans="2:9" x14ac:dyDescent="0.25">
      <c r="B501" t="s">
        <v>523</v>
      </c>
      <c r="D501" t="s">
        <v>298</v>
      </c>
      <c r="E501" t="s">
        <v>4</v>
      </c>
      <c r="F501" s="2">
        <v>1</v>
      </c>
      <c r="G501" t="s">
        <v>569</v>
      </c>
      <c r="H501" s="2" t="s">
        <v>722</v>
      </c>
      <c r="I501" s="2" t="str">
        <f>CONCATENATE(B501," ",IF(ISBLANK(H501),D501,H501)," ", ",")</f>
        <v>market CHAR(1) ,</v>
      </c>
    </row>
    <row r="502" spans="2:9" x14ac:dyDescent="0.25">
      <c r="B502" t="s">
        <v>524</v>
      </c>
      <c r="C502" s="2" t="s">
        <v>910</v>
      </c>
      <c r="D502" t="s">
        <v>298</v>
      </c>
      <c r="E502" t="s">
        <v>4</v>
      </c>
      <c r="F502" s="2">
        <v>1</v>
      </c>
      <c r="G502" t="s">
        <v>569</v>
      </c>
      <c r="H502" s="2" t="s">
        <v>722</v>
      </c>
      <c r="I502" s="2" t="str">
        <f>CONCATENATE(B502," ",IF(ISBLANK(H502),D502,H502)," ", ",")</f>
        <v>mdcaid CHAR(1) ,</v>
      </c>
    </row>
    <row r="503" spans="2:9" x14ac:dyDescent="0.25">
      <c r="B503" t="s">
        <v>525</v>
      </c>
      <c r="C503" s="2" t="s">
        <v>911</v>
      </c>
      <c r="D503" t="s">
        <v>298</v>
      </c>
      <c r="E503" t="s">
        <v>4</v>
      </c>
      <c r="F503" s="2">
        <v>1</v>
      </c>
      <c r="G503" t="s">
        <v>569</v>
      </c>
      <c r="H503" s="2" t="s">
        <v>722</v>
      </c>
      <c r="I503" s="2" t="str">
        <f>CONCATENATE(B503," ",IF(ISBLANK(H503),D503,H503)," ", ",")</f>
        <v>mdcare CHAR(1) ,</v>
      </c>
    </row>
    <row r="504" spans="2:9" x14ac:dyDescent="0.25">
      <c r="B504" t="s">
        <v>526</v>
      </c>
      <c r="C504" s="2" t="s">
        <v>939</v>
      </c>
      <c r="D504" t="s">
        <v>298</v>
      </c>
      <c r="E504" t="s">
        <v>4</v>
      </c>
      <c r="F504" s="2">
        <v>1</v>
      </c>
      <c r="G504" t="s">
        <v>569</v>
      </c>
      <c r="H504" s="2" t="s">
        <v>722</v>
      </c>
      <c r="I504" s="2" t="str">
        <f>CONCATENATE(B504," ",IF(ISBLANK(H504),D504,H504)," ", ",")</f>
        <v>other CHAR(1) ,</v>
      </c>
    </row>
    <row r="505" spans="2:9" x14ac:dyDescent="0.25">
      <c r="B505" t="s">
        <v>527</v>
      </c>
      <c r="C505" s="2" t="s">
        <v>948</v>
      </c>
      <c r="D505" t="s">
        <v>298</v>
      </c>
      <c r="E505" t="s">
        <v>4</v>
      </c>
      <c r="F505" s="2">
        <v>1</v>
      </c>
      <c r="G505" t="s">
        <v>569</v>
      </c>
      <c r="H505" s="2" t="s">
        <v>722</v>
      </c>
      <c r="I505" s="2" t="str">
        <f>CONCATENATE(B505," ",IF(ISBLANK(H505),D505,H505)," ", ",")</f>
        <v>prdcd CHAR(1) ,</v>
      </c>
    </row>
    <row r="506" spans="2:9" x14ac:dyDescent="0.25">
      <c r="B506" t="s">
        <v>528</v>
      </c>
      <c r="C506" s="2" t="s">
        <v>953</v>
      </c>
      <c r="D506" t="s">
        <v>298</v>
      </c>
      <c r="E506" t="s">
        <v>4</v>
      </c>
      <c r="F506" s="2">
        <v>2</v>
      </c>
      <c r="G506" t="s">
        <v>569</v>
      </c>
      <c r="H506" s="2" t="s">
        <v>722</v>
      </c>
      <c r="I506" s="2" t="str">
        <f>CONCATENATE(B506," ",IF(ISBLANK(H506),D506,H506)," ", ",")</f>
        <v>pyrcd CHAR(1) ,</v>
      </c>
    </row>
    <row r="507" spans="2:9" x14ac:dyDescent="0.25">
      <c r="B507" t="s">
        <v>529</v>
      </c>
      <c r="C507" s="2" t="s">
        <v>1035</v>
      </c>
      <c r="D507" t="s">
        <v>298</v>
      </c>
      <c r="E507" t="s">
        <v>4</v>
      </c>
      <c r="F507" s="2">
        <v>2</v>
      </c>
      <c r="G507" t="s">
        <v>569</v>
      </c>
      <c r="H507" s="2" t="s">
        <v>718</v>
      </c>
      <c r="I507" s="2" t="str">
        <f>CONCATENATE(B507," ",IF(ISBLANK(H507),D507,H507)," ", ",")</f>
        <v>totct SMALLINT ,</v>
      </c>
    </row>
    <row r="508" spans="2:9" x14ac:dyDescent="0.25">
      <c r="B508" t="s">
        <v>530</v>
      </c>
      <c r="C508" s="2" t="s">
        <v>816</v>
      </c>
      <c r="D508" t="s">
        <v>298</v>
      </c>
      <c r="E508" t="s">
        <v>4</v>
      </c>
      <c r="F508" s="2">
        <v>19</v>
      </c>
      <c r="G508" t="s">
        <v>569</v>
      </c>
      <c r="H508" s="2" t="s">
        <v>721</v>
      </c>
      <c r="I508" s="2" t="str">
        <f>CONCATENATE(B508," ",IF(ISBLANK(H508),D508,H508)," ", ",")</f>
        <v>admdt TIMESTAMP ,</v>
      </c>
    </row>
    <row r="509" spans="2:9" x14ac:dyDescent="0.25">
      <c r="B509" t="s">
        <v>531</v>
      </c>
      <c r="C509" s="2" t="s">
        <v>859</v>
      </c>
      <c r="D509" t="s">
        <v>298</v>
      </c>
      <c r="E509" t="s">
        <v>4</v>
      </c>
      <c r="F509" s="2">
        <v>19</v>
      </c>
      <c r="G509" t="s">
        <v>569</v>
      </c>
      <c r="H509" s="2" t="s">
        <v>721</v>
      </c>
      <c r="I509" s="2" t="str">
        <f>CONCATENATE(B509," ",IF(ISBLANK(H509),D509,H509)," ", ",")</f>
        <v>disdt TIMESTAMP ,</v>
      </c>
    </row>
    <row r="510" spans="2:9" x14ac:dyDescent="0.25">
      <c r="B510" t="s">
        <v>532</v>
      </c>
      <c r="C510" s="2" t="s">
        <v>937</v>
      </c>
      <c r="D510" t="s">
        <v>298</v>
      </c>
      <c r="E510" t="s">
        <v>4</v>
      </c>
      <c r="F510" s="2">
        <v>1</v>
      </c>
      <c r="G510" t="s">
        <v>569</v>
      </c>
      <c r="H510" t="s">
        <v>722</v>
      </c>
      <c r="I510" s="2" t="str">
        <f>CONCATENATE(B510," ",IF(ISBLANK(H510),D510,H510)," ", ",")</f>
        <v>numproc CHAR(1) ,</v>
      </c>
    </row>
    <row r="511" spans="2:9" x14ac:dyDescent="0.25">
      <c r="B511" t="s">
        <v>533</v>
      </c>
      <c r="C511" s="2" t="s">
        <v>884</v>
      </c>
      <c r="D511" t="s">
        <v>298</v>
      </c>
      <c r="E511" t="s">
        <v>4</v>
      </c>
      <c r="F511" s="2">
        <v>1</v>
      </c>
      <c r="G511" t="s">
        <v>575</v>
      </c>
      <c r="H511" s="2" t="s">
        <v>722</v>
      </c>
      <c r="I511" s="2" t="str">
        <f>CONCATENATE(B511," ",IF(ISBLANK(H511),D511,H511)," ", ",")</f>
        <v>hispanic CHAR(1) ,</v>
      </c>
    </row>
    <row r="512" spans="2:9" x14ac:dyDescent="0.25">
      <c r="B512" t="s">
        <v>534</v>
      </c>
      <c r="D512" t="s">
        <v>298</v>
      </c>
      <c r="E512" t="s">
        <v>4</v>
      </c>
      <c r="F512" s="2">
        <v>1</v>
      </c>
      <c r="G512" t="s">
        <v>574</v>
      </c>
      <c r="H512" s="2" t="s">
        <v>722</v>
      </c>
      <c r="I512" s="2" t="str">
        <f>CONCATENATE(B512," ",IF(ISBLANK(H512),D512,H512)," ", ",")</f>
        <v>mcs CHAR(1) ,</v>
      </c>
    </row>
    <row r="513" spans="2:9" x14ac:dyDescent="0.25">
      <c r="B513" t="s">
        <v>535</v>
      </c>
      <c r="C513" s="2" t="s">
        <v>916</v>
      </c>
      <c r="D513" t="s">
        <v>298</v>
      </c>
      <c r="E513" t="s">
        <v>4</v>
      </c>
      <c r="F513" s="2">
        <v>2</v>
      </c>
      <c r="G513" t="s">
        <v>713</v>
      </c>
      <c r="H513" s="2" t="s">
        <v>718</v>
      </c>
      <c r="I513" s="2" t="str">
        <f>CONCATENATE(B513," ",IF(ISBLANK(H513),D513,H513)," ", ",")</f>
        <v>memeth SMALLINT ,</v>
      </c>
    </row>
    <row r="514" spans="2:9" x14ac:dyDescent="0.25">
      <c r="B514" t="s">
        <v>536</v>
      </c>
      <c r="C514" s="2" t="s">
        <v>917</v>
      </c>
      <c r="D514" t="s">
        <v>298</v>
      </c>
      <c r="E514" t="s">
        <v>4</v>
      </c>
      <c r="F514" s="2">
        <v>1</v>
      </c>
      <c r="G514" t="s">
        <v>714</v>
      </c>
      <c r="H514" s="2" t="s">
        <v>722</v>
      </c>
      <c r="I514" s="2" t="str">
        <f>CONCATENATE(B514," ",IF(ISBLANK(H514),D514,H514)," ", ",")</f>
        <v>memethn_src CHAR(1) ,</v>
      </c>
    </row>
    <row r="515" spans="2:9" x14ac:dyDescent="0.25">
      <c r="B515" t="s">
        <v>537</v>
      </c>
      <c r="C515" s="2" t="s">
        <v>920</v>
      </c>
      <c r="D515" t="s">
        <v>298</v>
      </c>
      <c r="E515" t="s">
        <v>4</v>
      </c>
      <c r="F515" s="2">
        <v>2</v>
      </c>
      <c r="G515" t="s">
        <v>715</v>
      </c>
      <c r="H515" s="2" t="s">
        <v>718</v>
      </c>
      <c r="I515" s="2" t="str">
        <f>CONCATENATE(B515," ",IF(ISBLANK(H515),D515,H515)," ", ",")</f>
        <v>memrac SMALLINT ,</v>
      </c>
    </row>
    <row r="516" spans="2:9" x14ac:dyDescent="0.25">
      <c r="B516" t="s">
        <v>538</v>
      </c>
      <c r="C516" s="2" t="s">
        <v>921</v>
      </c>
      <c r="D516" t="s">
        <v>298</v>
      </c>
      <c r="E516" t="s">
        <v>4</v>
      </c>
      <c r="F516" s="2">
        <v>1</v>
      </c>
      <c r="G516" t="s">
        <v>576</v>
      </c>
      <c r="H516" s="2" t="s">
        <v>722</v>
      </c>
      <c r="I516" s="2" t="str">
        <f>CONCATENATE(B516," ",IF(ISBLANK(H516),D516,H516)," ", ",")</f>
        <v>mems CHAR(1) ,</v>
      </c>
    </row>
    <row r="517" spans="2:9" x14ac:dyDescent="0.25">
      <c r="B517" t="s">
        <v>539</v>
      </c>
      <c r="C517" s="2" t="s">
        <v>933</v>
      </c>
      <c r="D517" t="s">
        <v>298</v>
      </c>
      <c r="E517" t="s">
        <v>4</v>
      </c>
      <c r="F517" s="2">
        <v>1</v>
      </c>
      <c r="G517" t="s">
        <v>577</v>
      </c>
      <c r="H517" s="2" t="s">
        <v>722</v>
      </c>
      <c r="I517" s="2" t="str">
        <f>CONCATENATE(B517," ",IF(ISBLANK(H517),D517,H517)," ", ",")</f>
        <v>nothisp CHAR(1) ,</v>
      </c>
    </row>
    <row r="518" spans="2:9" x14ac:dyDescent="0.25">
      <c r="B518" t="s">
        <v>540</v>
      </c>
      <c r="C518" s="2" t="s">
        <v>993</v>
      </c>
      <c r="D518" t="s">
        <v>298</v>
      </c>
      <c r="E518" t="s">
        <v>4</v>
      </c>
      <c r="F518" s="2">
        <v>1</v>
      </c>
      <c r="G518" t="s">
        <v>575</v>
      </c>
      <c r="H518" s="2" t="s">
        <v>722</v>
      </c>
      <c r="I518" s="2" t="str">
        <f>CONCATENATE(B518," ",IF(ISBLANK(H518),D518,H518)," ", ",")</f>
        <v>src_e_cms CHAR(1) ,</v>
      </c>
    </row>
    <row r="519" spans="2:9" x14ac:dyDescent="0.25">
      <c r="B519" t="s">
        <v>541</v>
      </c>
      <c r="C519" s="2" t="s">
        <v>994</v>
      </c>
      <c r="D519" t="s">
        <v>298</v>
      </c>
      <c r="E519" t="s">
        <v>4</v>
      </c>
      <c r="F519" s="2">
        <v>1</v>
      </c>
      <c r="G519" t="s">
        <v>577</v>
      </c>
      <c r="H519" s="2" t="s">
        <v>722</v>
      </c>
      <c r="I519" s="2" t="str">
        <f>CONCATENATE(B519," ",IF(ISBLANK(H519),D519,H519)," ", ",")</f>
        <v>src_e_cms_state_total CHAR(1) ,</v>
      </c>
    </row>
    <row r="520" spans="2:9" x14ac:dyDescent="0.25">
      <c r="B520" t="s">
        <v>542</v>
      </c>
      <c r="C520" s="2" t="s">
        <v>996</v>
      </c>
      <c r="D520" t="s">
        <v>298</v>
      </c>
      <c r="E520" t="s">
        <v>4</v>
      </c>
      <c r="F520" s="2">
        <v>1</v>
      </c>
      <c r="G520" t="s">
        <v>576</v>
      </c>
      <c r="H520" s="2" t="s">
        <v>722</v>
      </c>
      <c r="I520" s="2" t="str">
        <f>CONCATENATE(B520," ",IF(ISBLANK(H520),D520,H520)," ", ",")</f>
        <v>src_e_direct_total CHAR(1) ,</v>
      </c>
    </row>
    <row r="521" spans="2:9" x14ac:dyDescent="0.25">
      <c r="B521" t="s">
        <v>543</v>
      </c>
      <c r="C521" s="2" t="s">
        <v>995</v>
      </c>
      <c r="D521" t="s">
        <v>298</v>
      </c>
      <c r="E521" t="s">
        <v>4</v>
      </c>
      <c r="F521" s="2">
        <v>1</v>
      </c>
      <c r="G521" t="s">
        <v>642</v>
      </c>
      <c r="H521" s="2" t="s">
        <v>722</v>
      </c>
      <c r="I521" s="2" t="str">
        <f>CONCATENATE(B521," ",IF(ISBLANK(H521),D521,H521)," ", ",")</f>
        <v>src_e_directother CHAR(1) ,</v>
      </c>
    </row>
    <row r="522" spans="2:9" x14ac:dyDescent="0.25">
      <c r="B522" t="s">
        <v>544</v>
      </c>
      <c r="C522" s="2" t="s">
        <v>997</v>
      </c>
      <c r="D522" t="s">
        <v>298</v>
      </c>
      <c r="E522" t="s">
        <v>4</v>
      </c>
      <c r="F522" s="2">
        <v>1</v>
      </c>
      <c r="G522" t="s">
        <v>575</v>
      </c>
      <c r="H522" s="2" t="s">
        <v>722</v>
      </c>
      <c r="I522" s="2" t="str">
        <f>CONCATENATE(B522," ",IF(ISBLANK(H522),D522,H522)," ", ",")</f>
        <v>src_e_geocoding CHAR(1) ,</v>
      </c>
    </row>
    <row r="523" spans="2:9" x14ac:dyDescent="0.25">
      <c r="B523" t="s">
        <v>545</v>
      </c>
      <c r="C523" s="2" t="s">
        <v>998</v>
      </c>
      <c r="D523" t="s">
        <v>298</v>
      </c>
      <c r="E523" t="s">
        <v>4</v>
      </c>
      <c r="F523" s="2">
        <v>1</v>
      </c>
      <c r="G523" t="s">
        <v>575</v>
      </c>
      <c r="H523" s="2" t="s">
        <v>722</v>
      </c>
      <c r="I523" s="2" t="str">
        <f>CONCATENATE(B523," ",IF(ISBLANK(H523),D523,H523)," ", ",")</f>
        <v>src_e_hpdirect CHAR(1) ,</v>
      </c>
    </row>
    <row r="524" spans="2:9" x14ac:dyDescent="0.25">
      <c r="B524" t="s">
        <v>546</v>
      </c>
      <c r="C524" s="2" t="s">
        <v>999</v>
      </c>
      <c r="D524" t="s">
        <v>298</v>
      </c>
      <c r="E524" t="s">
        <v>4</v>
      </c>
      <c r="F524" s="2">
        <v>1</v>
      </c>
      <c r="G524" t="s">
        <v>575</v>
      </c>
      <c r="H524" s="2" t="s">
        <v>722</v>
      </c>
      <c r="I524" s="2" t="str">
        <f>CONCATENATE(B524," ",IF(ISBLANK(H524),D524,H524)," ", ",")</f>
        <v>src_e_indirect CHAR(1) ,</v>
      </c>
    </row>
    <row r="525" spans="2:9" x14ac:dyDescent="0.25">
      <c r="B525" t="s">
        <v>547</v>
      </c>
      <c r="C525" s="2" t="s">
        <v>1000</v>
      </c>
      <c r="D525" t="s">
        <v>298</v>
      </c>
      <c r="E525" t="s">
        <v>4</v>
      </c>
      <c r="F525" s="2">
        <v>1</v>
      </c>
      <c r="G525" t="s">
        <v>577</v>
      </c>
      <c r="H525" s="2" t="s">
        <v>722</v>
      </c>
      <c r="I525" s="2" t="str">
        <f>CONCATENATE(B525," ",IF(ISBLANK(H525),D525,H525)," ", ",")</f>
        <v>src_e_state CHAR(1) ,</v>
      </c>
    </row>
    <row r="526" spans="2:9" x14ac:dyDescent="0.25">
      <c r="B526" t="s">
        <v>548</v>
      </c>
      <c r="C526" s="2" t="s">
        <v>1001</v>
      </c>
      <c r="D526" t="s">
        <v>298</v>
      </c>
      <c r="E526" t="s">
        <v>4</v>
      </c>
      <c r="F526" s="2">
        <v>1</v>
      </c>
      <c r="G526" t="s">
        <v>575</v>
      </c>
      <c r="H526" s="2" t="s">
        <v>722</v>
      </c>
      <c r="I526" s="2" t="str">
        <f>CONCATENATE(B526," ",IF(ISBLANK(H526),D526,H526)," ", ",")</f>
        <v>src_e_surname CHAR(1) ,</v>
      </c>
    </row>
    <row r="527" spans="2:9" x14ac:dyDescent="0.25">
      <c r="B527" t="s">
        <v>549</v>
      </c>
      <c r="C527" s="2" t="s">
        <v>1002</v>
      </c>
      <c r="D527" t="s">
        <v>298</v>
      </c>
      <c r="E527" t="s">
        <v>4</v>
      </c>
      <c r="F527" s="2">
        <v>1</v>
      </c>
      <c r="G527" t="s">
        <v>576</v>
      </c>
      <c r="H527" s="2" t="s">
        <v>722</v>
      </c>
      <c r="I527" s="2" t="str">
        <f>CONCATENATE(B527," ",IF(ISBLANK(H527),D527,H527)," ", ",")</f>
        <v>src_e_total_members CHAR(1) ,</v>
      </c>
    </row>
    <row r="528" spans="2:9" x14ac:dyDescent="0.25">
      <c r="B528" t="s">
        <v>550</v>
      </c>
      <c r="C528" s="2" t="s">
        <v>1003</v>
      </c>
      <c r="D528" t="s">
        <v>298</v>
      </c>
      <c r="E528" t="s">
        <v>4</v>
      </c>
      <c r="F528" s="2">
        <v>1</v>
      </c>
      <c r="G528" t="s">
        <v>575</v>
      </c>
      <c r="H528" s="2" t="s">
        <v>722</v>
      </c>
      <c r="I528" s="2" t="str">
        <f>CONCATENATE(B528," ",IF(ISBLANK(H528),D528,H528)," ", ",")</f>
        <v>src_e_unknowndc CHAR(1) ,</v>
      </c>
    </row>
    <row r="529" spans="2:9" x14ac:dyDescent="0.25">
      <c r="B529" t="s">
        <v>551</v>
      </c>
      <c r="C529" s="2" t="s">
        <v>1005</v>
      </c>
      <c r="D529" t="s">
        <v>298</v>
      </c>
      <c r="E529" t="s">
        <v>4</v>
      </c>
      <c r="F529" s="2">
        <v>1</v>
      </c>
      <c r="G529" t="s">
        <v>575</v>
      </c>
      <c r="H529" s="2" t="s">
        <v>722</v>
      </c>
      <c r="I529" s="2" t="str">
        <f>CONCATENATE(B529," ",IF(ISBLANK(H529),D529,H529)," ", ",")</f>
        <v>src_r_cms CHAR(1) ,</v>
      </c>
    </row>
    <row r="530" spans="2:9" x14ac:dyDescent="0.25">
      <c r="B530" t="s">
        <v>552</v>
      </c>
      <c r="C530" s="2" t="s">
        <v>1006</v>
      </c>
      <c r="D530" t="s">
        <v>298</v>
      </c>
      <c r="E530" t="s">
        <v>4</v>
      </c>
      <c r="F530" s="2">
        <v>1</v>
      </c>
      <c r="G530" t="s">
        <v>577</v>
      </c>
      <c r="H530" s="2" t="s">
        <v>722</v>
      </c>
      <c r="I530" s="2" t="str">
        <f>CONCATENATE(B530," ",IF(ISBLANK(H530),D530,H530)," ", ",")</f>
        <v>src_r_cms_state_total CHAR(1) ,</v>
      </c>
    </row>
    <row r="531" spans="2:9" x14ac:dyDescent="0.25">
      <c r="B531" t="s">
        <v>553</v>
      </c>
      <c r="C531" s="2" t="s">
        <v>1008</v>
      </c>
      <c r="D531" t="s">
        <v>298</v>
      </c>
      <c r="E531" t="s">
        <v>4</v>
      </c>
      <c r="F531" s="2">
        <v>1</v>
      </c>
      <c r="G531" t="s">
        <v>576</v>
      </c>
      <c r="H531" s="2" t="s">
        <v>722</v>
      </c>
      <c r="I531" s="2" t="str">
        <f>CONCATENATE(B531," ",IF(ISBLANK(H531),D531,H531)," ", ",")</f>
        <v>src_r_direct_total CHAR(1) ,</v>
      </c>
    </row>
    <row r="532" spans="2:9" x14ac:dyDescent="0.25">
      <c r="B532" t="s">
        <v>554</v>
      </c>
      <c r="C532" s="2" t="s">
        <v>1007</v>
      </c>
      <c r="D532" t="s">
        <v>298</v>
      </c>
      <c r="E532" t="s">
        <v>4</v>
      </c>
      <c r="F532" s="2">
        <v>1</v>
      </c>
      <c r="G532" t="s">
        <v>642</v>
      </c>
      <c r="H532" s="2" t="s">
        <v>722</v>
      </c>
      <c r="I532" s="2" t="str">
        <f>CONCATENATE(B532," ",IF(ISBLANK(H532),D532,H532)," ", ",")</f>
        <v>src_r_directother CHAR(1) ,</v>
      </c>
    </row>
    <row r="533" spans="2:9" x14ac:dyDescent="0.25">
      <c r="B533" t="s">
        <v>555</v>
      </c>
      <c r="C533" s="2" t="s">
        <v>1009</v>
      </c>
      <c r="D533" t="s">
        <v>298</v>
      </c>
      <c r="E533" t="s">
        <v>4</v>
      </c>
      <c r="F533" s="2">
        <v>1</v>
      </c>
      <c r="G533" t="s">
        <v>575</v>
      </c>
      <c r="H533" s="2" t="s">
        <v>722</v>
      </c>
      <c r="I533" s="2" t="str">
        <f>CONCATENATE(B533," ",IF(ISBLANK(H533),D533,H533)," ", ",")</f>
        <v>src_r_geocoding CHAR(1) ,</v>
      </c>
    </row>
    <row r="534" spans="2:9" x14ac:dyDescent="0.25">
      <c r="B534" t="s">
        <v>556</v>
      </c>
      <c r="C534" s="2" t="s">
        <v>1010</v>
      </c>
      <c r="D534" t="s">
        <v>298</v>
      </c>
      <c r="E534" t="s">
        <v>4</v>
      </c>
      <c r="F534" s="2">
        <v>1</v>
      </c>
      <c r="G534" t="s">
        <v>575</v>
      </c>
      <c r="H534" s="2" t="s">
        <v>722</v>
      </c>
      <c r="I534" s="2" t="str">
        <f>CONCATENATE(B534," ",IF(ISBLANK(H534),D534,H534)," ", ",")</f>
        <v>src_r_hpdirect CHAR(1) ,</v>
      </c>
    </row>
    <row r="535" spans="2:9" x14ac:dyDescent="0.25">
      <c r="B535" t="s">
        <v>557</v>
      </c>
      <c r="C535" s="2" t="s">
        <v>1011</v>
      </c>
      <c r="D535" t="s">
        <v>298</v>
      </c>
      <c r="E535" t="s">
        <v>4</v>
      </c>
      <c r="F535" s="2">
        <v>1</v>
      </c>
      <c r="G535" t="s">
        <v>575</v>
      </c>
      <c r="H535" s="2" t="s">
        <v>722</v>
      </c>
      <c r="I535" s="2" t="str">
        <f>CONCATENATE(B535," ",IF(ISBLANK(H535),D535,H535)," ", ",")</f>
        <v>src_r_indirect CHAR(1) ,</v>
      </c>
    </row>
    <row r="536" spans="2:9" x14ac:dyDescent="0.25">
      <c r="B536" t="s">
        <v>558</v>
      </c>
      <c r="C536" s="2" t="s">
        <v>1012</v>
      </c>
      <c r="D536" t="s">
        <v>298</v>
      </c>
      <c r="E536" t="s">
        <v>4</v>
      </c>
      <c r="F536" s="2">
        <v>1</v>
      </c>
      <c r="G536" t="s">
        <v>577</v>
      </c>
      <c r="H536" s="2" t="s">
        <v>722</v>
      </c>
      <c r="I536" s="2" t="str">
        <f>CONCATENATE(B536," ",IF(ISBLANK(H536),D536,H536)," ", ",")</f>
        <v>src_r_state CHAR(1) ,</v>
      </c>
    </row>
    <row r="537" spans="2:9" x14ac:dyDescent="0.25">
      <c r="B537" t="s">
        <v>559</v>
      </c>
      <c r="C537" s="2" t="s">
        <v>1013</v>
      </c>
      <c r="D537" t="s">
        <v>298</v>
      </c>
      <c r="E537" t="s">
        <v>4</v>
      </c>
      <c r="F537" s="2">
        <v>1</v>
      </c>
      <c r="G537" t="s">
        <v>575</v>
      </c>
      <c r="H537" s="2" t="s">
        <v>722</v>
      </c>
      <c r="I537" s="2" t="str">
        <f>CONCATENATE(B537," ",IF(ISBLANK(H537),D537,H537)," ", ",")</f>
        <v>src_r_surname CHAR(1) ,</v>
      </c>
    </row>
    <row r="538" spans="2:9" x14ac:dyDescent="0.25">
      <c r="B538" t="s">
        <v>560</v>
      </c>
      <c r="C538" s="2" t="s">
        <v>1014</v>
      </c>
      <c r="D538" t="s">
        <v>298</v>
      </c>
      <c r="E538" t="s">
        <v>4</v>
      </c>
      <c r="F538" s="2">
        <v>1</v>
      </c>
      <c r="G538" t="s">
        <v>576</v>
      </c>
      <c r="H538" s="2" t="s">
        <v>722</v>
      </c>
      <c r="I538" s="2" t="str">
        <f>CONCATENATE(B538," ",IF(ISBLANK(H538),D538,H538)," ", ",")</f>
        <v>src_r_total_members CHAR(1) ,</v>
      </c>
    </row>
    <row r="539" spans="2:9" x14ac:dyDescent="0.25">
      <c r="B539" t="s">
        <v>561</v>
      </c>
      <c r="C539" s="2" t="s">
        <v>1015</v>
      </c>
      <c r="D539" t="s">
        <v>298</v>
      </c>
      <c r="E539" t="s">
        <v>4</v>
      </c>
      <c r="F539" s="2">
        <v>1</v>
      </c>
      <c r="G539" t="s">
        <v>575</v>
      </c>
      <c r="H539" s="2" t="s">
        <v>722</v>
      </c>
      <c r="I539" s="2" t="str">
        <f>CONCATENATE(B539," ",IF(ISBLANK(H539),D539,H539)," ", ",")</f>
        <v>src_r_unknowndc CHAR(1) ,</v>
      </c>
    </row>
    <row r="540" spans="2:9" x14ac:dyDescent="0.25">
      <c r="B540" t="s">
        <v>562</v>
      </c>
      <c r="C540" s="2" t="s">
        <v>907</v>
      </c>
      <c r="D540" t="s">
        <v>298</v>
      </c>
      <c r="E540" t="s">
        <v>4</v>
      </c>
      <c r="F540" s="2">
        <v>19</v>
      </c>
      <c r="H540" s="2" t="s">
        <v>721</v>
      </c>
      <c r="I540" s="2" t="str">
        <f>CONCATENATE(B540," ",IF(ISBLANK(H540),D540,H540)," ", ",")</f>
        <v>last_disch_dt TIMESTAMP ,</v>
      </c>
    </row>
  </sheetData>
  <autoFilter ref="A1:H540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opLeftCell="A88" workbookViewId="0">
      <selection activeCell="D121" sqref="D121"/>
    </sheetView>
  </sheetViews>
  <sheetFormatPr defaultRowHeight="15" x14ac:dyDescent="0.25"/>
  <cols>
    <col min="1" max="1" width="9.140625" style="2"/>
    <col min="2" max="2" width="27.42578125" customWidth="1"/>
    <col min="3" max="3" width="37.140625" style="2" customWidth="1"/>
    <col min="4" max="4" width="27.42578125" style="2" customWidth="1"/>
    <col min="5" max="5" width="14.140625" customWidth="1"/>
    <col min="6" max="6" width="34.7109375" customWidth="1"/>
  </cols>
  <sheetData>
    <row r="1" spans="1:6" x14ac:dyDescent="0.25">
      <c r="A1" s="2" t="s">
        <v>763</v>
      </c>
      <c r="B1" t="s">
        <v>759</v>
      </c>
      <c r="C1" s="2" t="s">
        <v>1096</v>
      </c>
      <c r="D1" s="2" t="s">
        <v>761</v>
      </c>
      <c r="E1" t="s">
        <v>760</v>
      </c>
    </row>
    <row r="2" spans="1:6" x14ac:dyDescent="0.25">
      <c r="A2" s="2">
        <v>1</v>
      </c>
      <c r="B2" s="2" t="s">
        <v>0</v>
      </c>
      <c r="C2" s="2" t="s">
        <v>875</v>
      </c>
      <c r="D2" s="2" t="s">
        <v>718</v>
      </c>
      <c r="E2">
        <v>2</v>
      </c>
      <c r="F2" t="str">
        <f>CONCATENATE(B2," ",IF(D2="VARCHAR",CONCATENATE(D2,"(",E2,")"),D2)," ", ",")</f>
        <v>flowchart_run_id SMALLINT ,</v>
      </c>
    </row>
    <row r="3" spans="1:6" x14ac:dyDescent="0.25">
      <c r="A3" s="2">
        <v>2</v>
      </c>
      <c r="B3" s="2" t="s">
        <v>2</v>
      </c>
      <c r="D3" s="2" t="s">
        <v>718</v>
      </c>
      <c r="E3">
        <v>2</v>
      </c>
      <c r="F3" s="2" t="str">
        <f>CONCATENATE(B3," ",IF(D3="VARCHAR",CONCATENATE(D3,"(",E3,")"),D3)," ", ",")</f>
        <v>measure_id SMALLINT ,</v>
      </c>
    </row>
    <row r="4" spans="1:6" x14ac:dyDescent="0.25">
      <c r="A4" s="2">
        <v>3</v>
      </c>
      <c r="B4" s="2" t="s">
        <v>5</v>
      </c>
      <c r="C4" s="2" t="s">
        <v>913</v>
      </c>
      <c r="D4" s="2" t="s">
        <v>719</v>
      </c>
      <c r="E4">
        <v>8</v>
      </c>
      <c r="F4" s="2" t="str">
        <f>CONCATENATE(B4," ",IF(D4="VARCHAR",CONCATENATE(D4,"(",E4,")"),D4)," ", ",")</f>
        <v>member_id INTEGER ,</v>
      </c>
    </row>
    <row r="5" spans="1:6" x14ac:dyDescent="0.25">
      <c r="A5" s="2">
        <v>4</v>
      </c>
      <c r="B5" s="2" t="s">
        <v>7</v>
      </c>
      <c r="C5" s="2" t="s">
        <v>915</v>
      </c>
      <c r="D5" s="2" t="s">
        <v>762</v>
      </c>
      <c r="E5">
        <v>100</v>
      </c>
      <c r="F5" s="2" t="str">
        <f>CONCATENATE(B5," ",IF(D5="VARCHAR",CONCATENATE(D5,"(",E5,")"),D5)," ", ",")</f>
        <v>membername VARCHAR(100) ,</v>
      </c>
    </row>
    <row r="6" spans="1:6" x14ac:dyDescent="0.25">
      <c r="A6" s="2">
        <v>5</v>
      </c>
      <c r="B6" s="2" t="s">
        <v>9</v>
      </c>
      <c r="C6" s="2" t="s">
        <v>914</v>
      </c>
      <c r="D6" s="2" t="s">
        <v>720</v>
      </c>
      <c r="E6">
        <v>12</v>
      </c>
      <c r="F6" s="2" t="str">
        <f>CONCATENATE(B6," ",IF(D6="VARCHAR",CONCATENATE(D6,"(",E6,")"),D6)," ", ",")</f>
        <v>memberkey BIGINT ,</v>
      </c>
    </row>
    <row r="7" spans="1:6" x14ac:dyDescent="0.25">
      <c r="A7" s="2">
        <v>6</v>
      </c>
      <c r="B7" s="2" t="s">
        <v>737</v>
      </c>
      <c r="D7" s="2" t="s">
        <v>762</v>
      </c>
      <c r="E7">
        <v>50</v>
      </c>
      <c r="F7" s="2" t="str">
        <f>CONCATENATE(B7," ",IF(D7="VARCHAR",CONCATENATE(D7,"(",E7,")"),D7)," ", ",")</f>
        <v>category VARCHAR(50) ,</v>
      </c>
    </row>
    <row r="8" spans="1:6" x14ac:dyDescent="0.25">
      <c r="A8" s="2">
        <v>7</v>
      </c>
      <c r="B8" s="2" t="s">
        <v>738</v>
      </c>
      <c r="D8" s="2" t="s">
        <v>762</v>
      </c>
      <c r="E8">
        <v>50</v>
      </c>
      <c r="F8" s="2" t="str">
        <f>CONCATENATE(B8," ",IF(D8="VARCHAR",CONCATENATE(D8,"(",E8,")"),D8)," ", ",")</f>
        <v>tagtext VARCHAR(50) ,</v>
      </c>
    </row>
    <row r="9" spans="1:6" x14ac:dyDescent="0.25">
      <c r="A9" s="2">
        <v>8</v>
      </c>
      <c r="B9" s="2" t="s">
        <v>739</v>
      </c>
      <c r="D9" s="2" t="s">
        <v>762</v>
      </c>
      <c r="E9">
        <v>5</v>
      </c>
      <c r="F9" s="2" t="str">
        <f>CONCATENATE(B9," ",IF(D9="VARCHAR",CONCATENATE(D9,"(",E9,")"),D9)," ", ",")</f>
        <v>eventdefid VARCHAR(5) ,</v>
      </c>
    </row>
    <row r="10" spans="1:6" x14ac:dyDescent="0.25">
      <c r="A10" s="2">
        <v>9</v>
      </c>
      <c r="B10" s="2" t="s">
        <v>740</v>
      </c>
      <c r="D10" s="2" t="s">
        <v>762</v>
      </c>
      <c r="E10">
        <v>9</v>
      </c>
      <c r="F10" s="2" t="str">
        <f>CONCATENATE(B10," ",IF(D10="VARCHAR",CONCATENATE(D10,"(",E10,")"),D10)," ", ",")</f>
        <v>uniqueid VARCHAR(9) ,</v>
      </c>
    </row>
    <row r="11" spans="1:6" x14ac:dyDescent="0.25">
      <c r="A11" s="2">
        <v>10</v>
      </c>
      <c r="B11" s="2" t="s">
        <v>741</v>
      </c>
      <c r="D11" s="2" t="s">
        <v>762</v>
      </c>
      <c r="E11">
        <v>23</v>
      </c>
      <c r="F11" s="2" t="str">
        <f>CONCATENATE(B11," ",IF(D11="VARCHAR",CONCATENATE(D11,"(",E11,")"),D11)," ", ",")</f>
        <v>unique_key VARCHAR(23) ,</v>
      </c>
    </row>
    <row r="12" spans="1:6" x14ac:dyDescent="0.25">
      <c r="A12" s="2">
        <v>11</v>
      </c>
      <c r="B12" s="2" t="s">
        <v>14</v>
      </c>
      <c r="C12" s="2" t="s">
        <v>834</v>
      </c>
      <c r="D12" s="2" t="s">
        <v>721</v>
      </c>
      <c r="E12">
        <v>19</v>
      </c>
      <c r="F12" s="2" t="str">
        <f>CONCATENATE(B12," ",IF(D12="VARCHAR",CONCATENATE(D12,"(",E12,")"),D12)," ", ",")</f>
        <v>clssdt TIMESTAMP ,</v>
      </c>
    </row>
    <row r="13" spans="1:6" x14ac:dyDescent="0.25">
      <c r="A13" s="2">
        <v>12</v>
      </c>
      <c r="B13" s="2" t="s">
        <v>13</v>
      </c>
      <c r="C13" s="2" t="s">
        <v>912</v>
      </c>
      <c r="D13" s="2" t="s">
        <v>762</v>
      </c>
      <c r="E13">
        <v>8</v>
      </c>
      <c r="F13" s="2" t="str">
        <f>CONCATENATE(B13," ",IF(D13="VARCHAR",CONCATENATE(D13,"(",E13,")"),D13)," ", ",")</f>
        <v>member_enrollment_id VARCHAR(8) ,</v>
      </c>
    </row>
    <row r="14" spans="1:6" x14ac:dyDescent="0.25">
      <c r="A14" s="2">
        <v>13</v>
      </c>
      <c r="B14" s="2" t="s">
        <v>742</v>
      </c>
      <c r="D14" s="2" t="s">
        <v>762</v>
      </c>
      <c r="E14">
        <v>40</v>
      </c>
      <c r="F14" s="2" t="str">
        <f>CONCATENATE(B14," ",IF(D14="VARCHAR",CONCATENATE(D14,"(",E14,")"),D14)," ", ",")</f>
        <v>eventcode VARCHAR(40) ,</v>
      </c>
    </row>
    <row r="15" spans="1:6" x14ac:dyDescent="0.25">
      <c r="A15" s="2">
        <v>14</v>
      </c>
      <c r="B15" s="2" t="s">
        <v>743</v>
      </c>
      <c r="D15" s="2" t="s">
        <v>762</v>
      </c>
      <c r="E15">
        <v>1</v>
      </c>
      <c r="F15" s="2" t="str">
        <f>CONCATENATE(B15," ",IF(D15="VARCHAR",CONCATENATE(D15,"(",E15,")"),D15)," ", ",")</f>
        <v>eventbuildid VARCHAR(1) ,</v>
      </c>
    </row>
    <row r="16" spans="1:6" x14ac:dyDescent="0.25">
      <c r="A16" s="2">
        <v>15</v>
      </c>
      <c r="B16" s="2" t="s">
        <v>744</v>
      </c>
      <c r="D16" s="2" t="s">
        <v>762</v>
      </c>
      <c r="E16">
        <v>7</v>
      </c>
      <c r="F16" s="2" t="str">
        <f>CONCATENATE(B16," ",IF(D16="VARCHAR",CONCATENATE(D16,"(",E16,")"),D16)," ", ",")</f>
        <v>providerid VARCHAR(7) ,</v>
      </c>
    </row>
    <row r="17" spans="1:6" x14ac:dyDescent="0.25">
      <c r="A17" s="2">
        <v>16</v>
      </c>
      <c r="B17" s="2" t="s">
        <v>745</v>
      </c>
      <c r="D17" s="2" t="s">
        <v>762</v>
      </c>
      <c r="E17">
        <v>2</v>
      </c>
      <c r="F17" s="2" t="str">
        <f>CONCATENATE(B17," ",IF(D17="VARCHAR",CONCATENATE(D17,"(",E17,")"),D17)," ", ",")</f>
        <v>dischargestatus VARCHAR(2) ,</v>
      </c>
    </row>
    <row r="18" spans="1:6" x14ac:dyDescent="0.25">
      <c r="A18" s="2">
        <v>17</v>
      </c>
      <c r="B18" s="2" t="s">
        <v>746</v>
      </c>
      <c r="D18" s="2" t="s">
        <v>762</v>
      </c>
      <c r="E18">
        <v>2</v>
      </c>
      <c r="F18" s="2" t="str">
        <f>CONCATENATE(B18," ",IF(D18="VARCHAR",CONCATENATE(D18,"(",E18,")"),D18)," ", ",")</f>
        <v>precedence VARCHAR(2) ,</v>
      </c>
    </row>
    <row r="19" spans="1:6" x14ac:dyDescent="0.25">
      <c r="A19" s="2">
        <v>18</v>
      </c>
      <c r="B19" s="2" t="s">
        <v>747</v>
      </c>
      <c r="D19" s="2" t="s">
        <v>762</v>
      </c>
      <c r="E19">
        <v>8</v>
      </c>
      <c r="F19" s="2" t="str">
        <f>CONCATENATE(B19," ",IF(D19="VARCHAR",CONCATENATE(D19,"(",E19,")"),D19)," ", ",")</f>
        <v>deduplicatefield VARCHAR(8) ,</v>
      </c>
    </row>
    <row r="20" spans="1:6" x14ac:dyDescent="0.25">
      <c r="A20" s="2">
        <v>19</v>
      </c>
      <c r="B20" s="2" t="s">
        <v>748</v>
      </c>
      <c r="D20" s="2" t="s">
        <v>762</v>
      </c>
      <c r="E20">
        <v>1</v>
      </c>
      <c r="F20" s="2" t="str">
        <f>CONCATENATE(B20," ",IF(D20="VARCHAR",CONCATENATE(D20,"(",E20,")"),D20)," ", ",")</f>
        <v>posnegresult VARCHAR(1) ,</v>
      </c>
    </row>
    <row r="21" spans="1:6" x14ac:dyDescent="0.25">
      <c r="A21" s="2">
        <v>20</v>
      </c>
      <c r="B21" s="2" t="s">
        <v>749</v>
      </c>
      <c r="D21" s="2" t="s">
        <v>762</v>
      </c>
      <c r="E21">
        <v>1</v>
      </c>
      <c r="F21" s="2" t="str">
        <f>CONCATENATE(B21," ",IF(D21="VARCHAR",CONCATENATE(D21,"(",E21,")"),D21)," ", ",")</f>
        <v>cost VARCHAR(1) ,</v>
      </c>
    </row>
    <row r="22" spans="1:6" x14ac:dyDescent="0.25">
      <c r="A22" s="2">
        <v>21</v>
      </c>
      <c r="B22" s="2" t="s">
        <v>758</v>
      </c>
      <c r="D22" s="2" t="s">
        <v>762</v>
      </c>
      <c r="E22">
        <v>5</v>
      </c>
      <c r="F22" s="2" t="str">
        <f>CONCATENATE(B22," ",IF(D22="VARCHAR",CONCATENATE(D22,"(",E22,")"),D22)," ", ",")</f>
        <v>result_ VARCHAR(5) ,</v>
      </c>
    </row>
    <row r="23" spans="1:6" x14ac:dyDescent="0.25">
      <c r="A23" s="2">
        <v>22</v>
      </c>
      <c r="B23" s="2" t="s">
        <v>750</v>
      </c>
      <c r="D23" s="2" t="s">
        <v>762</v>
      </c>
      <c r="E23">
        <v>5</v>
      </c>
      <c r="F23" s="2" t="str">
        <f>CONCATENATE(B23," ",IF(D23="VARCHAR",CONCATENATE(D23,"(",E23,")"),D23)," ", ",")</f>
        <v>quantitydispensed VARCHAR(5) ,</v>
      </c>
    </row>
    <row r="24" spans="1:6" x14ac:dyDescent="0.25">
      <c r="A24" s="2">
        <v>23</v>
      </c>
      <c r="B24" s="2" t="s">
        <v>751</v>
      </c>
      <c r="D24" s="2" t="s">
        <v>721</v>
      </c>
      <c r="E24">
        <v>19</v>
      </c>
      <c r="F24" s="2" t="str">
        <f>CONCATENATE(B24," ",IF(D24="VARCHAR",CONCATENATE(D24,"(",E24,")"),D24)," ", ",")</f>
        <v>servicedate TIMESTAMP ,</v>
      </c>
    </row>
    <row r="25" spans="1:6" x14ac:dyDescent="0.25">
      <c r="A25" s="2">
        <v>24</v>
      </c>
      <c r="B25" s="2" t="s">
        <v>752</v>
      </c>
      <c r="D25" s="2" t="s">
        <v>721</v>
      </c>
      <c r="E25">
        <v>19</v>
      </c>
      <c r="F25" s="2" t="str">
        <f>CONCATENATE(B25," ",IF(D25="VARCHAR",CONCATENATE(D25,"(",E25,")"),D25)," ", ",")</f>
        <v>throughdate TIMESTAMP ,</v>
      </c>
    </row>
    <row r="26" spans="1:6" x14ac:dyDescent="0.25">
      <c r="A26" s="2">
        <v>25</v>
      </c>
      <c r="B26" s="2" t="s">
        <v>753</v>
      </c>
      <c r="D26" s="2" t="s">
        <v>762</v>
      </c>
      <c r="E26">
        <v>0</v>
      </c>
      <c r="F26" s="2" t="str">
        <f>CONCATENATE(B26," ",IF(D26="VARCHAR",CONCATENATE(D26,"(",E26,")"),D26)," ", ",")</f>
        <v>ndc VARCHAR(0) ,</v>
      </c>
    </row>
    <row r="27" spans="1:6" x14ac:dyDescent="0.25">
      <c r="A27" s="2">
        <v>26</v>
      </c>
      <c r="B27" s="2" t="s">
        <v>754</v>
      </c>
      <c r="D27" s="2" t="s">
        <v>762</v>
      </c>
      <c r="E27">
        <v>9</v>
      </c>
      <c r="F27" s="2" t="str">
        <f>CONCATENATE(B27," ",IF(D27="VARCHAR",CONCATENATE(D27,"(",E27,")"),D27)," ", ",")</f>
        <v>datasource VARCHAR(9) ,</v>
      </c>
    </row>
    <row r="28" spans="1:6" x14ac:dyDescent="0.25">
      <c r="A28" s="2">
        <v>27</v>
      </c>
      <c r="B28" s="2" t="s">
        <v>755</v>
      </c>
      <c r="D28" s="2" t="s">
        <v>762</v>
      </c>
      <c r="E28">
        <v>1</v>
      </c>
      <c r="F28" s="2" t="str">
        <f>CONCATENATE(B28," ",IF(D28="VARCHAR",CONCATENATE(D28,"(",E28,")"),D28)," ", ",")</f>
        <v>suppsource VARCHAR(1) ,</v>
      </c>
    </row>
    <row r="29" spans="1:6" x14ac:dyDescent="0.25">
      <c r="A29" s="2">
        <v>28</v>
      </c>
      <c r="B29" s="2" t="s">
        <v>756</v>
      </c>
      <c r="D29" s="2" t="s">
        <v>762</v>
      </c>
      <c r="E29">
        <v>5</v>
      </c>
      <c r="F29" s="2" t="str">
        <f>CONCATENATE(B29," ",IF(D29="VARCHAR",CONCATENATE(D29,"(",E29,")"),D29)," ", ",")</f>
        <v>feed_instance_id VARCHAR(5) ,</v>
      </c>
    </row>
    <row r="30" spans="1:6" x14ac:dyDescent="0.25">
      <c r="A30" s="2">
        <v>29</v>
      </c>
      <c r="B30" s="2" t="s">
        <v>24</v>
      </c>
      <c r="D30" s="2" t="s">
        <v>762</v>
      </c>
      <c r="E30">
        <v>80</v>
      </c>
      <c r="F30" s="2" t="str">
        <f>CONCATENATE(B30," ",IF(D30="VARCHAR",CONCATENATE(D30,"(",E30,")"),D30)," ", ",")</f>
        <v>member_enrollment_key VARCHAR(80) ,</v>
      </c>
    </row>
    <row r="31" spans="1:6" x14ac:dyDescent="0.25">
      <c r="A31" s="2">
        <v>30</v>
      </c>
      <c r="B31" s="2" t="s">
        <v>26</v>
      </c>
      <c r="C31" s="2" t="s">
        <v>774</v>
      </c>
      <c r="D31" s="2" t="s">
        <v>127</v>
      </c>
      <c r="E31">
        <v>10</v>
      </c>
      <c r="F31" s="2" t="str">
        <f>CONCATENATE(B31," ",IF(D31="VARCHAR",CONCATENATE(D31,"(",E31,")"),D31)," ", ",")</f>
        <v>coverage_begin_date DATE ,</v>
      </c>
    </row>
    <row r="32" spans="1:6" x14ac:dyDescent="0.25">
      <c r="A32" s="2">
        <v>31</v>
      </c>
      <c r="B32" s="2" t="s">
        <v>27</v>
      </c>
      <c r="C32" s="2" t="s">
        <v>775</v>
      </c>
      <c r="D32" s="2" t="s">
        <v>127</v>
      </c>
      <c r="E32">
        <v>10</v>
      </c>
      <c r="F32" s="2" t="str">
        <f>CONCATENATE(B32," ",IF(D32="VARCHAR",CONCATENATE(D32,"(",E32,")"),D32)," ", ",")</f>
        <v>coverage_end_date DATE ,</v>
      </c>
    </row>
    <row r="33" spans="1:6" x14ac:dyDescent="0.25">
      <c r="A33" s="2">
        <v>32</v>
      </c>
      <c r="B33" s="2" t="s">
        <v>28</v>
      </c>
      <c r="C33" s="2" t="s">
        <v>1046</v>
      </c>
      <c r="D33" s="2" t="s">
        <v>762</v>
      </c>
      <c r="E33">
        <v>12</v>
      </c>
      <c r="F33" s="2" t="str">
        <f>CONCATENATE(B33," ",IF(D33="VARCHAR",CONCATENATE(D33,"(",E33,")"),D33)," ", ",")</f>
        <v>subscriber_key VARCHAR(12) ,</v>
      </c>
    </row>
    <row r="34" spans="1:6" x14ac:dyDescent="0.25">
      <c r="A34" s="2">
        <v>33</v>
      </c>
      <c r="B34" s="2" t="s">
        <v>29</v>
      </c>
      <c r="C34" s="2" t="s">
        <v>1047</v>
      </c>
      <c r="D34" s="2" t="s">
        <v>762</v>
      </c>
      <c r="E34">
        <v>13</v>
      </c>
      <c r="F34" s="2" t="str">
        <f>CONCATENATE(B34," ",IF(D34="VARCHAR",CONCATENATE(D34,"(",E34,")"),D34)," ", ",")</f>
        <v>provider_key VARCHAR(13) ,</v>
      </c>
    </row>
    <row r="35" spans="1:6" x14ac:dyDescent="0.25">
      <c r="A35" s="2">
        <v>34</v>
      </c>
      <c r="B35" s="2" t="s">
        <v>31</v>
      </c>
      <c r="C35" s="2" t="s">
        <v>1048</v>
      </c>
      <c r="D35" s="2" t="s">
        <v>762</v>
      </c>
      <c r="E35">
        <v>100</v>
      </c>
      <c r="F35" s="2" t="str">
        <f>CONCATENATE(B35," ",IF(D35="VARCHAR",CONCATENATE(D35,"(",E35,")"),D35)," ", ",")</f>
        <v>provider_name VARCHAR(100) ,</v>
      </c>
    </row>
    <row r="36" spans="1:6" x14ac:dyDescent="0.25">
      <c r="A36" s="2">
        <v>35</v>
      </c>
      <c r="B36" s="2" t="s">
        <v>32</v>
      </c>
      <c r="C36" s="2" t="s">
        <v>1049</v>
      </c>
      <c r="D36" s="2" t="s">
        <v>762</v>
      </c>
      <c r="E36">
        <v>1</v>
      </c>
      <c r="F36" s="2" t="str">
        <f>CONCATENATE(B36," ",IF(D36="VARCHAR",CONCATENATE(D36,"(",E36,")"),D36)," ", ",")</f>
        <v>mental_inpatient_flag VARCHAR(1) ,</v>
      </c>
    </row>
    <row r="37" spans="1:6" x14ac:dyDescent="0.25">
      <c r="A37" s="2">
        <v>36</v>
      </c>
      <c r="B37" s="2" t="s">
        <v>33</v>
      </c>
      <c r="C37" s="2" t="s">
        <v>1050</v>
      </c>
      <c r="D37" s="2" t="s">
        <v>762</v>
      </c>
      <c r="E37">
        <v>1</v>
      </c>
      <c r="F37" s="2" t="str">
        <f>CONCATENATE(B37," ",IF(D37="VARCHAR",CONCATENATE(D37,"(",E37,")"),D37)," ", ",")</f>
        <v>mental_ambulatory_flag VARCHAR(1) ,</v>
      </c>
    </row>
    <row r="38" spans="1:6" x14ac:dyDescent="0.25">
      <c r="A38" s="2">
        <v>37</v>
      </c>
      <c r="B38" s="2" t="s">
        <v>34</v>
      </c>
      <c r="C38" s="2" t="s">
        <v>1051</v>
      </c>
      <c r="D38" s="2" t="s">
        <v>762</v>
      </c>
      <c r="E38">
        <v>1</v>
      </c>
      <c r="F38" s="2" t="str">
        <f>CONCATENATE(B38," ",IF(D38="VARCHAR",CONCATENATE(D38,"(",E38,")"),D38)," ", ",")</f>
        <v>mental_day_night_flag VARCHAR(1) ,</v>
      </c>
    </row>
    <row r="39" spans="1:6" x14ac:dyDescent="0.25">
      <c r="A39" s="2">
        <v>38</v>
      </c>
      <c r="B39" s="2" t="s">
        <v>35</v>
      </c>
      <c r="C39" s="2" t="s">
        <v>1052</v>
      </c>
      <c r="D39" s="2" t="s">
        <v>762</v>
      </c>
      <c r="E39">
        <v>1</v>
      </c>
      <c r="F39" s="2" t="str">
        <f>CONCATENATE(B39," ",IF(D39="VARCHAR",CONCATENATE(D39,"(",E39,")"),D39)," ", ",")</f>
        <v>chem_inpatient_flag VARCHAR(1) ,</v>
      </c>
    </row>
    <row r="40" spans="1:6" x14ac:dyDescent="0.25">
      <c r="A40" s="2">
        <v>39</v>
      </c>
      <c r="B40" s="2" t="s">
        <v>36</v>
      </c>
      <c r="C40" s="2" t="s">
        <v>1053</v>
      </c>
      <c r="D40" s="2" t="s">
        <v>762</v>
      </c>
      <c r="E40">
        <v>1</v>
      </c>
      <c r="F40" s="2" t="str">
        <f>CONCATENATE(B40," ",IF(D40="VARCHAR",CONCATENATE(D40,"(",E40,")"),D40)," ", ",")</f>
        <v>chem_ambulatory_flag VARCHAR(1) ,</v>
      </c>
    </row>
    <row r="41" spans="1:6" x14ac:dyDescent="0.25">
      <c r="A41" s="2">
        <v>40</v>
      </c>
      <c r="B41" s="2" t="s">
        <v>37</v>
      </c>
      <c r="C41" s="2" t="s">
        <v>1054</v>
      </c>
      <c r="D41" s="2" t="s">
        <v>762</v>
      </c>
      <c r="E41">
        <v>1</v>
      </c>
      <c r="F41" s="2" t="str">
        <f>CONCATENATE(B41," ",IF(D41="VARCHAR",CONCATENATE(D41,"(",E41,")"),D41)," ", ",")</f>
        <v>chem_day_night_flag VARCHAR(1) ,</v>
      </c>
    </row>
    <row r="42" spans="1:6" x14ac:dyDescent="0.25">
      <c r="A42" s="2">
        <v>41</v>
      </c>
      <c r="B42" s="2" t="s">
        <v>38</v>
      </c>
      <c r="C42" s="2" t="s">
        <v>1055</v>
      </c>
      <c r="D42" s="2" t="s">
        <v>762</v>
      </c>
      <c r="E42">
        <v>1</v>
      </c>
      <c r="F42" s="2" t="str">
        <f>CONCATENATE(B42," ",IF(D42="VARCHAR",CONCATENATE(D42,"(",E42,")"),D42)," ", ",")</f>
        <v>dental_flag VARCHAR(1) ,</v>
      </c>
    </row>
    <row r="43" spans="1:6" x14ac:dyDescent="0.25">
      <c r="A43" s="2">
        <v>42</v>
      </c>
      <c r="B43" s="2" t="s">
        <v>39</v>
      </c>
      <c r="C43" s="2" t="s">
        <v>1056</v>
      </c>
      <c r="D43" s="2" t="s">
        <v>762</v>
      </c>
      <c r="E43">
        <v>1</v>
      </c>
      <c r="F43" s="2" t="str">
        <f>CONCATENATE(B43," ",IF(D43="VARCHAR",CONCATENATE(D43,"(",E43,")"),D43)," ", ",")</f>
        <v>dm_eligible_flag VARCHAR(1) ,</v>
      </c>
    </row>
    <row r="44" spans="1:6" x14ac:dyDescent="0.25">
      <c r="A44" s="2">
        <v>43</v>
      </c>
      <c r="B44" s="2" t="s">
        <v>40</v>
      </c>
      <c r="C44" s="2" t="s">
        <v>1057</v>
      </c>
      <c r="D44" s="2" t="s">
        <v>762</v>
      </c>
      <c r="E44">
        <v>1</v>
      </c>
      <c r="F44" s="2" t="str">
        <f>CONCATENATE(B44," ",IF(D44="VARCHAR",CONCATENATE(D44,"(",E44,")"),D44)," ", ",")</f>
        <v>hospice_flag VARCHAR(1) ,</v>
      </c>
    </row>
    <row r="45" spans="1:6" x14ac:dyDescent="0.25">
      <c r="A45" s="2">
        <v>44</v>
      </c>
      <c r="B45" s="2" t="s">
        <v>41</v>
      </c>
      <c r="C45" s="2" t="s">
        <v>1058</v>
      </c>
      <c r="D45" s="2" t="s">
        <v>762</v>
      </c>
      <c r="E45">
        <v>1</v>
      </c>
      <c r="F45" s="2" t="str">
        <f>CONCATENATE(B45," ",IF(D45="VARCHAR",CONCATENATE(D45,"(",E45,")"),D45)," ", ",")</f>
        <v>rx_flag VARCHAR(1) ,</v>
      </c>
    </row>
    <row r="46" spans="1:6" x14ac:dyDescent="0.25">
      <c r="A46" s="2">
        <v>45</v>
      </c>
      <c r="B46" s="2" t="s">
        <v>42</v>
      </c>
      <c r="C46" s="2" t="s">
        <v>1059</v>
      </c>
      <c r="D46" s="2" t="s">
        <v>762</v>
      </c>
      <c r="E46">
        <v>1</v>
      </c>
      <c r="F46" s="2" t="str">
        <f>CONCATENATE(B46," ",IF(D46="VARCHAR",CONCATENATE(D46,"(",E46,")"),D46)," ", ",")</f>
        <v>plan_employee_flag VARCHAR(1) ,</v>
      </c>
    </row>
    <row r="47" spans="1:6" x14ac:dyDescent="0.25">
      <c r="A47" s="2">
        <v>46</v>
      </c>
      <c r="B47" s="2" t="s">
        <v>43</v>
      </c>
      <c r="C47" s="2" t="s">
        <v>1060</v>
      </c>
      <c r="D47" s="2" t="s">
        <v>762</v>
      </c>
      <c r="E47">
        <v>1</v>
      </c>
      <c r="F47" s="2" t="str">
        <f>CONCATENATE(B47," ",IF(D47="VARCHAR",CONCATENATE(D47,"(",E47,")"),D47)," ", ",")</f>
        <v>vision_flag VARCHAR(1) ,</v>
      </c>
    </row>
    <row r="48" spans="1:6" x14ac:dyDescent="0.25">
      <c r="A48" s="2">
        <v>47</v>
      </c>
      <c r="B48" s="2" t="s">
        <v>44</v>
      </c>
      <c r="C48" s="2" t="s">
        <v>1061</v>
      </c>
      <c r="D48" s="2" t="s">
        <v>762</v>
      </c>
      <c r="E48">
        <v>12</v>
      </c>
      <c r="F48" s="2" t="str">
        <f>CONCATENATE(B48," ",IF(D48="VARCHAR",CONCATENATE(D48,"(",E48,")"),D48)," ", ",")</f>
        <v>dm_severity_factor VARCHAR(12) ,</v>
      </c>
    </row>
    <row r="49" spans="1:6" x14ac:dyDescent="0.25">
      <c r="A49" s="2">
        <v>48</v>
      </c>
      <c r="B49" s="2" t="s">
        <v>45</v>
      </c>
      <c r="C49" s="2" t="s">
        <v>1062</v>
      </c>
      <c r="D49" s="2" t="s">
        <v>762</v>
      </c>
      <c r="E49">
        <v>2</v>
      </c>
      <c r="F49" s="2" t="str">
        <f>CONCATENATE(B49," ",IF(D49="VARCHAR",CONCATENATE(D49,"(",E49,")"),D49)," ", ",")</f>
        <v>payer_code VARCHAR(2) ,</v>
      </c>
    </row>
    <row r="50" spans="1:6" x14ac:dyDescent="0.25">
      <c r="A50" s="2">
        <v>49</v>
      </c>
      <c r="B50" s="2" t="s">
        <v>46</v>
      </c>
      <c r="C50" s="2" t="s">
        <v>1063</v>
      </c>
      <c r="D50" s="2" t="s">
        <v>762</v>
      </c>
      <c r="E50">
        <v>1</v>
      </c>
      <c r="F50" s="2" t="str">
        <f>CONCATENATE(B50," ",IF(D50="VARCHAR",CONCATENATE(D50,"(",E50,")"),D50)," ", ",")</f>
        <v>product_code VARCHAR(1) ,</v>
      </c>
    </row>
    <row r="51" spans="1:6" x14ac:dyDescent="0.25">
      <c r="A51" s="2">
        <v>50</v>
      </c>
      <c r="B51" s="2" t="s">
        <v>47</v>
      </c>
      <c r="C51" s="2" t="s">
        <v>1064</v>
      </c>
      <c r="D51" s="2" t="s">
        <v>762</v>
      </c>
      <c r="E51">
        <v>5</v>
      </c>
      <c r="F51" s="2" t="str">
        <f>CONCATENATE(B51," ",IF(D51="VARCHAR",CONCATENATE(D51,"(",E51,")"),D51)," ", ",")</f>
        <v>medicare_contract_code VARCHAR(5) ,</v>
      </c>
    </row>
    <row r="52" spans="1:6" x14ac:dyDescent="0.25">
      <c r="A52" s="2">
        <v>51</v>
      </c>
      <c r="B52" s="2" t="s">
        <v>49</v>
      </c>
      <c r="C52" s="2" t="s">
        <v>776</v>
      </c>
      <c r="D52" s="2" t="s">
        <v>762</v>
      </c>
      <c r="E52">
        <v>50</v>
      </c>
      <c r="F52" s="2" t="str">
        <f>CONCATENATE(B52," ",IF(D52="VARCHAR",CONCATENATE(D52,"(",E52,")"),D52)," ", ",")</f>
        <v>reportingcategoryidentifier1 VARCHAR(50) ,</v>
      </c>
    </row>
    <row r="53" spans="1:6" x14ac:dyDescent="0.25">
      <c r="A53" s="2">
        <v>52</v>
      </c>
      <c r="B53" s="2" t="s">
        <v>51</v>
      </c>
      <c r="C53" s="2" t="s">
        <v>777</v>
      </c>
      <c r="D53" s="2" t="s">
        <v>762</v>
      </c>
      <c r="E53">
        <v>50</v>
      </c>
      <c r="F53" s="2" t="str">
        <f>CONCATENATE(B53," ",IF(D53="VARCHAR",CONCATENATE(D53,"(",E53,")"),D53)," ", ",")</f>
        <v>reportingcategoryidentifier2 VARCHAR(50) ,</v>
      </c>
    </row>
    <row r="54" spans="1:6" x14ac:dyDescent="0.25">
      <c r="A54" s="2">
        <v>53</v>
      </c>
      <c r="B54" s="2" t="s">
        <v>52</v>
      </c>
      <c r="C54" s="2" t="s">
        <v>778</v>
      </c>
      <c r="D54" s="2" t="s">
        <v>762</v>
      </c>
      <c r="E54">
        <v>50</v>
      </c>
      <c r="F54" s="2" t="str">
        <f>CONCATENATE(B54," ",IF(D54="VARCHAR",CONCATENATE(D54,"(",E54,")"),D54)," ", ",")</f>
        <v>reportingcategoryidentifier3 VARCHAR(50) ,</v>
      </c>
    </row>
    <row r="55" spans="1:6" x14ac:dyDescent="0.25">
      <c r="A55" s="2">
        <v>54</v>
      </c>
      <c r="B55" s="2" t="s">
        <v>53</v>
      </c>
      <c r="C55" s="2" t="s">
        <v>779</v>
      </c>
      <c r="D55" s="2" t="s">
        <v>762</v>
      </c>
      <c r="E55">
        <v>50</v>
      </c>
      <c r="F55" s="2" t="str">
        <f>CONCATENATE(B55," ",IF(D55="VARCHAR",CONCATENATE(D55,"(",E55,")"),D55)," ", ",")</f>
        <v>reportingcategoryidentifier4 VARCHAR(50) ,</v>
      </c>
    </row>
    <row r="56" spans="1:6" x14ac:dyDescent="0.25">
      <c r="A56" s="2">
        <v>55</v>
      </c>
      <c r="B56" s="2" t="s">
        <v>54</v>
      </c>
      <c r="C56" s="2" t="s">
        <v>780</v>
      </c>
      <c r="D56" s="2" t="s">
        <v>762</v>
      </c>
      <c r="E56">
        <v>50</v>
      </c>
      <c r="F56" s="2" t="str">
        <f>CONCATENATE(B56," ",IF(D56="VARCHAR",CONCATENATE(D56,"(",E56,")"),D56)," ", ",")</f>
        <v>reportingcategoryidentifier5 VARCHAR(50) ,</v>
      </c>
    </row>
    <row r="57" spans="1:6" x14ac:dyDescent="0.25">
      <c r="A57" s="2">
        <v>56</v>
      </c>
      <c r="B57" s="2" t="s">
        <v>55</v>
      </c>
      <c r="C57" s="2" t="s">
        <v>781</v>
      </c>
      <c r="D57" s="2" t="s">
        <v>762</v>
      </c>
      <c r="E57">
        <v>50</v>
      </c>
      <c r="F57" s="2" t="str">
        <f>CONCATENATE(B57," ",IF(D57="VARCHAR",CONCATENATE(D57,"(",E57,")"),D57)," ", ",")</f>
        <v>reportingcategoryidentifier6 VARCHAR(50) ,</v>
      </c>
    </row>
    <row r="58" spans="1:6" x14ac:dyDescent="0.25">
      <c r="A58" s="2">
        <v>57</v>
      </c>
      <c r="B58" s="2" t="s">
        <v>56</v>
      </c>
      <c r="C58" s="2" t="s">
        <v>782</v>
      </c>
      <c r="D58" s="2" t="s">
        <v>762</v>
      </c>
      <c r="E58">
        <v>50</v>
      </c>
      <c r="F58" s="2" t="str">
        <f>CONCATENATE(B58," ",IF(D58="VARCHAR",CONCATENATE(D58,"(",E58,")"),D58)," ", ",")</f>
        <v>reportingcategoryidentifier7 VARCHAR(50) ,</v>
      </c>
    </row>
    <row r="59" spans="1:6" x14ac:dyDescent="0.25">
      <c r="A59" s="2">
        <v>58</v>
      </c>
      <c r="B59" s="2" t="s">
        <v>57</v>
      </c>
      <c r="C59" s="2" t="s">
        <v>783</v>
      </c>
      <c r="D59" s="2" t="s">
        <v>762</v>
      </c>
      <c r="E59">
        <v>50</v>
      </c>
      <c r="F59" s="2" t="str">
        <f>CONCATENATE(B59," ",IF(D59="VARCHAR",CONCATENATE(D59,"(",E59,")"),D59)," ", ",")</f>
        <v>reportingcategoryidentifier8 VARCHAR(50) ,</v>
      </c>
    </row>
    <row r="60" spans="1:6" x14ac:dyDescent="0.25">
      <c r="A60" s="2">
        <v>59</v>
      </c>
      <c r="B60" s="2" t="s">
        <v>58</v>
      </c>
      <c r="C60" s="2" t="s">
        <v>784</v>
      </c>
      <c r="D60" s="2" t="s">
        <v>762</v>
      </c>
      <c r="E60">
        <v>50</v>
      </c>
      <c r="F60" s="2" t="str">
        <f>CONCATENATE(B60," ",IF(D60="VARCHAR",CONCATENATE(D60,"(",E60,")"),D60)," ", ",")</f>
        <v>reportingcategoryidentifier9 VARCHAR(50) ,</v>
      </c>
    </row>
    <row r="61" spans="1:6" x14ac:dyDescent="0.25">
      <c r="A61" s="2">
        <v>60</v>
      </c>
      <c r="B61" s="2" t="s">
        <v>59</v>
      </c>
      <c r="C61" s="2" t="s">
        <v>785</v>
      </c>
      <c r="D61" s="2" t="s">
        <v>762</v>
      </c>
      <c r="E61">
        <v>50</v>
      </c>
      <c r="F61" s="2" t="str">
        <f>CONCATENATE(B61," ",IF(D61="VARCHAR",CONCATENATE(D61,"(",E61,")"),D61)," ", ",")</f>
        <v>reportingcategoryidentifier10 VARCHAR(50) ,</v>
      </c>
    </row>
    <row r="62" spans="1:6" x14ac:dyDescent="0.25">
      <c r="A62" s="2">
        <v>61</v>
      </c>
      <c r="B62" s="2" t="s">
        <v>60</v>
      </c>
      <c r="C62" s="2" t="s">
        <v>786</v>
      </c>
      <c r="D62" s="2" t="s">
        <v>762</v>
      </c>
      <c r="E62">
        <v>50</v>
      </c>
      <c r="F62" s="2" t="str">
        <f>CONCATENATE(B62," ",IF(D62="VARCHAR",CONCATENATE(D62,"(",E62,")"),D62)," ", ",")</f>
        <v>reportingcategoryidentifier11 VARCHAR(50) ,</v>
      </c>
    </row>
    <row r="63" spans="1:6" x14ac:dyDescent="0.25">
      <c r="A63" s="2">
        <v>62</v>
      </c>
      <c r="B63" s="2" t="s">
        <v>61</v>
      </c>
      <c r="C63" s="2" t="s">
        <v>787</v>
      </c>
      <c r="D63" s="2" t="s">
        <v>762</v>
      </c>
      <c r="E63">
        <v>50</v>
      </c>
      <c r="F63" s="2" t="str">
        <f>CONCATENATE(B63," ",IF(D63="VARCHAR",CONCATENATE(D63,"(",E63,")"),D63)," ", ",")</f>
        <v>reportingcategoryidentifier12 VARCHAR(50) ,</v>
      </c>
    </row>
    <row r="64" spans="1:6" x14ac:dyDescent="0.25">
      <c r="A64" s="2">
        <v>63</v>
      </c>
      <c r="B64" s="2" t="s">
        <v>62</v>
      </c>
      <c r="C64" s="2" t="s">
        <v>788</v>
      </c>
      <c r="D64" s="2" t="s">
        <v>762</v>
      </c>
      <c r="E64">
        <v>50</v>
      </c>
      <c r="F64" s="2" t="str">
        <f>CONCATENATE(B64," ",IF(D64="VARCHAR",CONCATENATE(D64,"(",E64,")"),D64)," ", ",")</f>
        <v>reportingcategoryidentifier13 VARCHAR(50) ,</v>
      </c>
    </row>
    <row r="65" spans="1:6" x14ac:dyDescent="0.25">
      <c r="A65" s="2">
        <v>64</v>
      </c>
      <c r="B65" s="2" t="s">
        <v>63</v>
      </c>
      <c r="C65" s="2" t="s">
        <v>789</v>
      </c>
      <c r="D65" s="2" t="s">
        <v>762</v>
      </c>
      <c r="E65">
        <v>50</v>
      </c>
      <c r="F65" s="2" t="str">
        <f>CONCATENATE(B65," ",IF(D65="VARCHAR",CONCATENATE(D65,"(",E65,")"),D65)," ", ",")</f>
        <v>reportingcategoryidentifier14 VARCHAR(50) ,</v>
      </c>
    </row>
    <row r="66" spans="1:6" x14ac:dyDescent="0.25">
      <c r="A66" s="2">
        <v>65</v>
      </c>
      <c r="B66" s="2" t="s">
        <v>64</v>
      </c>
      <c r="C66" s="2" t="s">
        <v>790</v>
      </c>
      <c r="D66" s="2" t="s">
        <v>762</v>
      </c>
      <c r="E66">
        <v>50</v>
      </c>
      <c r="F66" s="2" t="str">
        <f>CONCATENATE(B66," ",IF(D66="VARCHAR",CONCATENATE(D66,"(",E66,")"),D66)," ", ",")</f>
        <v>reportingcategoryidentifier15 VARCHAR(50) ,</v>
      </c>
    </row>
    <row r="67" spans="1:6" x14ac:dyDescent="0.25">
      <c r="A67" s="2">
        <v>66</v>
      </c>
      <c r="B67" s="2" t="s">
        <v>65</v>
      </c>
      <c r="C67" s="2" t="s">
        <v>791</v>
      </c>
      <c r="D67" s="2" t="s">
        <v>762</v>
      </c>
      <c r="E67">
        <v>50</v>
      </c>
      <c r="F67" s="2" t="str">
        <f>CONCATENATE(B67," ",IF(D67="VARCHAR",CONCATENATE(D67,"(",E67,")"),D67)," ", ",")</f>
        <v>reportingcategoryidentifier16 VARCHAR(50) ,</v>
      </c>
    </row>
    <row r="68" spans="1:6" x14ac:dyDescent="0.25">
      <c r="A68" s="2">
        <v>67</v>
      </c>
      <c r="B68" s="2" t="s">
        <v>66</v>
      </c>
      <c r="C68" s="2" t="s">
        <v>792</v>
      </c>
      <c r="D68" s="2" t="s">
        <v>762</v>
      </c>
      <c r="E68">
        <v>50</v>
      </c>
      <c r="F68" s="2" t="str">
        <f>CONCATENATE(B68," ",IF(D68="VARCHAR",CONCATENATE(D68,"(",E68,")"),D68)," ", ",")</f>
        <v>reportingcategoryidentifier17 VARCHAR(50) ,</v>
      </c>
    </row>
    <row r="69" spans="1:6" x14ac:dyDescent="0.25">
      <c r="A69" s="2">
        <v>68</v>
      </c>
      <c r="B69" s="2" t="s">
        <v>67</v>
      </c>
      <c r="C69" s="2" t="s">
        <v>793</v>
      </c>
      <c r="D69" s="2" t="s">
        <v>762</v>
      </c>
      <c r="E69">
        <v>50</v>
      </c>
      <c r="F69" s="2" t="str">
        <f>CONCATENATE(B69," ",IF(D69="VARCHAR",CONCATENATE(D69,"(",E69,")"),D69)," ", ",")</f>
        <v>reportingcategoryidentifier18 VARCHAR(50) ,</v>
      </c>
    </row>
    <row r="70" spans="1:6" x14ac:dyDescent="0.25">
      <c r="A70" s="2">
        <v>69</v>
      </c>
      <c r="B70" s="2" t="s">
        <v>68</v>
      </c>
      <c r="C70" s="2" t="s">
        <v>794</v>
      </c>
      <c r="D70" s="2" t="s">
        <v>762</v>
      </c>
      <c r="E70">
        <v>50</v>
      </c>
      <c r="F70" s="2" t="str">
        <f>CONCATENATE(B70," ",IF(D70="VARCHAR",CONCATENATE(D70,"(",E70,")"),D70)," ", ",")</f>
        <v>reportingcategoryidentifier19 VARCHAR(50) ,</v>
      </c>
    </row>
    <row r="71" spans="1:6" x14ac:dyDescent="0.25">
      <c r="A71" s="2">
        <v>70</v>
      </c>
      <c r="B71" s="2" t="s">
        <v>69</v>
      </c>
      <c r="C71" s="2" t="s">
        <v>795</v>
      </c>
      <c r="D71" s="2" t="s">
        <v>762</v>
      </c>
      <c r="E71">
        <v>50</v>
      </c>
      <c r="F71" s="2" t="str">
        <f>CONCATENATE(B71," ",IF(D71="VARCHAR",CONCATENATE(D71,"(",E71,")"),D71)," ", ",")</f>
        <v>reportingcategoryidentifier20 VARCHAR(50) ,</v>
      </c>
    </row>
    <row r="72" spans="1:6" x14ac:dyDescent="0.25">
      <c r="A72" s="2">
        <v>71</v>
      </c>
      <c r="B72" s="2" t="s">
        <v>70</v>
      </c>
      <c r="C72" s="2" t="s">
        <v>796</v>
      </c>
      <c r="D72" s="2" t="s">
        <v>762</v>
      </c>
      <c r="E72">
        <v>50</v>
      </c>
      <c r="F72" s="2" t="str">
        <f>CONCATENATE(B72," ",IF(D72="VARCHAR",CONCATENATE(D72,"(",E72,")"),D72)," ", ",")</f>
        <v>reportingcategoryidentifier21 VARCHAR(50) ,</v>
      </c>
    </row>
    <row r="73" spans="1:6" x14ac:dyDescent="0.25">
      <c r="A73" s="2">
        <v>72</v>
      </c>
      <c r="B73" s="2" t="s">
        <v>71</v>
      </c>
      <c r="C73" s="2" t="s">
        <v>796</v>
      </c>
      <c r="D73" s="2" t="s">
        <v>762</v>
      </c>
      <c r="E73">
        <v>50</v>
      </c>
      <c r="F73" s="2" t="str">
        <f>CONCATENATE(B73," ",IF(D73="VARCHAR",CONCATENATE(D73,"(",E73,")"),D73)," ", ",")</f>
        <v>reportingcategoryidentifier22 VARCHAR(50) ,</v>
      </c>
    </row>
    <row r="74" spans="1:6" x14ac:dyDescent="0.25">
      <c r="A74" s="2">
        <v>73</v>
      </c>
      <c r="B74" s="2" t="s">
        <v>72</v>
      </c>
      <c r="C74" s="2" t="s">
        <v>796</v>
      </c>
      <c r="D74" s="2" t="s">
        <v>762</v>
      </c>
      <c r="E74">
        <v>50</v>
      </c>
      <c r="F74" s="2" t="str">
        <f>CONCATENATE(B74," ",IF(D74="VARCHAR",CONCATENATE(D74,"(",E74,")"),D74)," ", ",")</f>
        <v>reportingcategoryidentifier23 VARCHAR(50) ,</v>
      </c>
    </row>
    <row r="75" spans="1:6" x14ac:dyDescent="0.25">
      <c r="A75" s="2">
        <v>74</v>
      </c>
      <c r="B75" s="2" t="s">
        <v>73</v>
      </c>
      <c r="C75" s="2" t="s">
        <v>1065</v>
      </c>
      <c r="D75" s="2" t="s">
        <v>127</v>
      </c>
      <c r="E75">
        <v>10</v>
      </c>
      <c r="F75" s="2" t="str">
        <f>CONCATENATE(B75," ",IF(D75="VARCHAR",CONCATENATE(D75,"(",E75,")"),D75)," ", ",")</f>
        <v>birth_date DATE ,</v>
      </c>
    </row>
    <row r="76" spans="1:6" x14ac:dyDescent="0.25">
      <c r="A76" s="2">
        <v>75</v>
      </c>
      <c r="B76" s="2" t="s">
        <v>74</v>
      </c>
      <c r="C76" s="2" t="s">
        <v>1066</v>
      </c>
      <c r="D76" s="2" t="s">
        <v>762</v>
      </c>
      <c r="E76">
        <v>1</v>
      </c>
      <c r="F76" s="2" t="str">
        <f>CONCATENATE(B76," ",IF(D76="VARCHAR",CONCATENATE(D76,"(",E76,")"),D76)," ", ",")</f>
        <v>gender_code VARCHAR(1) ,</v>
      </c>
    </row>
    <row r="77" spans="1:6" x14ac:dyDescent="0.25">
      <c r="A77" s="2">
        <v>76</v>
      </c>
      <c r="B77" s="2" t="s">
        <v>75</v>
      </c>
      <c r="C77" s="2" t="s">
        <v>1067</v>
      </c>
      <c r="D77" s="2" t="s">
        <v>762</v>
      </c>
      <c r="E77">
        <v>14</v>
      </c>
      <c r="F77" s="2" t="str">
        <f>CONCATENATE(B77," ",IF(D77="VARCHAR",CONCATENATE(D77,"(",E77,")"),D77)," ", ",")</f>
        <v>phone_number VARCHAR(14) ,</v>
      </c>
    </row>
    <row r="78" spans="1:6" x14ac:dyDescent="0.25">
      <c r="A78" s="2">
        <v>77</v>
      </c>
      <c r="B78" s="2" t="s">
        <v>76</v>
      </c>
      <c r="C78" s="2" t="s">
        <v>1068</v>
      </c>
      <c r="D78" s="2" t="s">
        <v>762</v>
      </c>
      <c r="E78">
        <v>100</v>
      </c>
      <c r="F78" s="2" t="str">
        <f>CONCATENATE(B78," ",IF(D78="VARCHAR",CONCATENATE(D78,"(",E78,")"),D78)," ", ",")</f>
        <v>address_line_1 VARCHAR(100) ,</v>
      </c>
    </row>
    <row r="79" spans="1:6" x14ac:dyDescent="0.25">
      <c r="A79" s="2">
        <v>78</v>
      </c>
      <c r="B79" s="2" t="s">
        <v>77</v>
      </c>
      <c r="C79" s="2" t="s">
        <v>1069</v>
      </c>
      <c r="D79" s="2" t="s">
        <v>762</v>
      </c>
      <c r="E79">
        <v>100</v>
      </c>
      <c r="F79" s="2" t="str">
        <f>CONCATENATE(B79," ",IF(D79="VARCHAR",CONCATENATE(D79,"(",E79,")"),D79)," ", ",")</f>
        <v>address_line_2 VARCHAR(100) ,</v>
      </c>
    </row>
    <row r="80" spans="1:6" x14ac:dyDescent="0.25">
      <c r="A80" s="2">
        <v>79</v>
      </c>
      <c r="B80" s="2" t="s">
        <v>78</v>
      </c>
      <c r="C80" s="2" t="s">
        <v>1070</v>
      </c>
      <c r="D80" s="2" t="s">
        <v>762</v>
      </c>
      <c r="E80">
        <v>25</v>
      </c>
      <c r="F80" s="2" t="str">
        <f>CONCATENATE(B80," ",IF(D80="VARCHAR",CONCATENATE(D80,"(",E80,")"),D80)," ", ",")</f>
        <v>city VARCHAR(25) ,</v>
      </c>
    </row>
    <row r="81" spans="1:6" x14ac:dyDescent="0.25">
      <c r="A81" s="2">
        <v>80</v>
      </c>
      <c r="B81" s="2" t="s">
        <v>80</v>
      </c>
      <c r="C81" s="2" t="s">
        <v>1071</v>
      </c>
      <c r="D81" s="2" t="s">
        <v>762</v>
      </c>
      <c r="E81">
        <v>7</v>
      </c>
      <c r="F81" s="2" t="str">
        <f>CONCATENATE(B81," ",IF(D81="VARCHAR",CONCATENATE(D81,"(",E81,")"),D81)," ", ",")</f>
        <v>county VARCHAR(7) ,</v>
      </c>
    </row>
    <row r="82" spans="1:6" x14ac:dyDescent="0.25">
      <c r="A82" s="2">
        <v>81</v>
      </c>
      <c r="B82" s="2" t="s">
        <v>81</v>
      </c>
      <c r="C82" s="2" t="s">
        <v>1072</v>
      </c>
      <c r="D82" s="2" t="s">
        <v>762</v>
      </c>
      <c r="E82">
        <v>2</v>
      </c>
      <c r="F82" s="2" t="str">
        <f>CONCATENATE(B82," ",IF(D82="VARCHAR",CONCATENATE(D82,"(",E82,")"),D82)," ", ",")</f>
        <v>state_code VARCHAR(2) ,</v>
      </c>
    </row>
    <row r="83" spans="1:6" x14ac:dyDescent="0.25">
      <c r="A83" s="2">
        <v>82</v>
      </c>
      <c r="B83" s="2" t="s">
        <v>82</v>
      </c>
      <c r="C83" s="2" t="s">
        <v>1073</v>
      </c>
      <c r="D83" s="2" t="s">
        <v>762</v>
      </c>
      <c r="E83">
        <v>9</v>
      </c>
      <c r="F83" s="2" t="str">
        <f>CONCATENATE(B83," ",IF(D83="VARCHAR",CONCATENATE(D83,"(",E83,")"),D83)," ", ",")</f>
        <v>zip VARCHAR(9) ,</v>
      </c>
    </row>
    <row r="84" spans="1:6" x14ac:dyDescent="0.25">
      <c r="A84" s="2">
        <v>83</v>
      </c>
      <c r="B84" s="2" t="s">
        <v>84</v>
      </c>
      <c r="C84" s="2" t="s">
        <v>1074</v>
      </c>
      <c r="D84" s="2" t="s">
        <v>762</v>
      </c>
      <c r="E84">
        <v>30</v>
      </c>
      <c r="F84" s="2" t="str">
        <f>CONCATENATE(B84," ",IF(D84="VARCHAR",CONCATENATE(D84,"(",E84,")"),D84)," ", ",")</f>
        <v>medicare_id VARCHAR(30) ,</v>
      </c>
    </row>
    <row r="85" spans="1:6" x14ac:dyDescent="0.25">
      <c r="A85" s="2">
        <v>84</v>
      </c>
      <c r="B85" s="2" t="s">
        <v>86</v>
      </c>
      <c r="C85" s="2" t="s">
        <v>1075</v>
      </c>
      <c r="D85" s="2" t="s">
        <v>762</v>
      </c>
      <c r="E85">
        <v>30</v>
      </c>
      <c r="F85" s="2" t="str">
        <f>CONCATENATE(B85," ",IF(D85="VARCHAR",CONCATENATE(D85,"(",E85,")"),D85)," ", ",")</f>
        <v>medicaid_id VARCHAR(30) ,</v>
      </c>
    </row>
    <row r="86" spans="1:6" x14ac:dyDescent="0.25">
      <c r="A86" s="2">
        <v>85</v>
      </c>
      <c r="B86" s="2" t="s">
        <v>87</v>
      </c>
      <c r="C86" s="2" t="s">
        <v>797</v>
      </c>
      <c r="D86" s="2" t="s">
        <v>762</v>
      </c>
      <c r="E86">
        <v>30</v>
      </c>
      <c r="F86" s="2" t="str">
        <f>CONCATENATE(B86," ",IF(D86="VARCHAR",CONCATENATE(D86,"(",E86,")"),D86)," ", ",")</f>
        <v>member_altid1 VARCHAR(30) ,</v>
      </c>
    </row>
    <row r="87" spans="1:6" x14ac:dyDescent="0.25">
      <c r="A87" s="2">
        <v>86</v>
      </c>
      <c r="B87" s="2" t="s">
        <v>88</v>
      </c>
      <c r="C87" s="2" t="s">
        <v>798</v>
      </c>
      <c r="D87" s="2" t="s">
        <v>762</v>
      </c>
      <c r="E87">
        <v>30</v>
      </c>
      <c r="F87" s="2" t="str">
        <f>CONCATENATE(B87," ",IF(D87="VARCHAR",CONCATENATE(D87,"(",E87,")"),D87)," ", ",")</f>
        <v>member_altid2 VARCHAR(30) ,</v>
      </c>
    </row>
    <row r="88" spans="1:6" x14ac:dyDescent="0.25">
      <c r="A88" s="2">
        <v>87</v>
      </c>
      <c r="B88" s="2" t="s">
        <v>89</v>
      </c>
      <c r="C88" s="2" t="s">
        <v>799</v>
      </c>
      <c r="D88" s="2" t="s">
        <v>762</v>
      </c>
      <c r="E88">
        <v>30</v>
      </c>
      <c r="F88" s="2" t="str">
        <f>CONCATENATE(B88," ",IF(D88="VARCHAR",CONCATENATE(D88,"(",E88,")"),D88)," ", ",")</f>
        <v>member_altid3 VARCHAR(30) ,</v>
      </c>
    </row>
    <row r="89" spans="1:6" x14ac:dyDescent="0.25">
      <c r="A89" s="2">
        <v>88</v>
      </c>
      <c r="B89" s="2" t="s">
        <v>90</v>
      </c>
      <c r="C89" s="2" t="s">
        <v>800</v>
      </c>
      <c r="D89" s="2" t="s">
        <v>762</v>
      </c>
      <c r="E89">
        <v>30</v>
      </c>
      <c r="F89" s="2" t="str">
        <f>CONCATENATE(B89," ",IF(D89="VARCHAR",CONCATENATE(D89,"(",E89,")"),D89)," ", ",")</f>
        <v>member_altid4 VARCHAR(30) ,</v>
      </c>
    </row>
    <row r="90" spans="1:6" x14ac:dyDescent="0.25">
      <c r="A90" s="2">
        <v>89</v>
      </c>
      <c r="B90" s="2" t="s">
        <v>91</v>
      </c>
      <c r="C90" s="2" t="s">
        <v>801</v>
      </c>
      <c r="D90" s="2" t="s">
        <v>762</v>
      </c>
      <c r="E90">
        <v>30</v>
      </c>
      <c r="F90" s="2" t="str">
        <f>CONCATENATE(B90," ",IF(D90="VARCHAR",CONCATENATE(D90,"(",E90,")"),D90)," ", ",")</f>
        <v>member_altid5 VARCHAR(30) ,</v>
      </c>
    </row>
    <row r="91" spans="1:6" x14ac:dyDescent="0.25">
      <c r="A91" s="2">
        <v>90</v>
      </c>
      <c r="B91" s="2" t="s">
        <v>92</v>
      </c>
      <c r="C91" s="2" t="s">
        <v>802</v>
      </c>
      <c r="D91" s="2" t="s">
        <v>762</v>
      </c>
      <c r="E91">
        <v>30</v>
      </c>
      <c r="F91" s="2" t="str">
        <f>CONCATENATE(B91," ",IF(D91="VARCHAR",CONCATENATE(D91,"(",E91,")"),D91)," ", ",")</f>
        <v>member_altid6 VARCHAR(30) ,</v>
      </c>
    </row>
    <row r="92" spans="1:6" x14ac:dyDescent="0.25">
      <c r="A92" s="2">
        <v>91</v>
      </c>
      <c r="B92" s="2" t="s">
        <v>93</v>
      </c>
      <c r="C92" s="2" t="s">
        <v>1076</v>
      </c>
      <c r="D92" s="2" t="s">
        <v>762</v>
      </c>
      <c r="E92">
        <v>2</v>
      </c>
      <c r="F92" s="2" t="str">
        <f>CONCATENATE(B92," ",IF(D92="VARCHAR",CONCATENATE(D92,"(",E92,")"),D92)," ", ",")</f>
        <v>race VARCHAR(2) ,</v>
      </c>
    </row>
    <row r="93" spans="1:6" x14ac:dyDescent="0.25">
      <c r="A93" s="2">
        <v>92</v>
      </c>
      <c r="B93" s="2" t="s">
        <v>94</v>
      </c>
      <c r="C93" s="2" t="s">
        <v>1077</v>
      </c>
      <c r="D93" s="2" t="s">
        <v>762</v>
      </c>
      <c r="E93">
        <v>1</v>
      </c>
      <c r="F93" s="2" t="str">
        <f>CONCATENATE(B93," ",IF(D93="VARCHAR",CONCATENATE(D93,"(",E93,")"),D93)," ", ",")</f>
        <v>race_source VARCHAR(1) ,</v>
      </c>
    </row>
    <row r="94" spans="1:6" x14ac:dyDescent="0.25">
      <c r="A94" s="2">
        <v>93</v>
      </c>
      <c r="B94" s="2" t="s">
        <v>95</v>
      </c>
      <c r="C94" s="2" t="s">
        <v>1078</v>
      </c>
      <c r="D94" s="2" t="s">
        <v>762</v>
      </c>
      <c r="E94">
        <v>2</v>
      </c>
      <c r="F94" s="2" t="str">
        <f>CONCATENATE(B94," ",IF(D94="VARCHAR",CONCATENATE(D94,"(",E94,")"),D94)," ", ",")</f>
        <v>ethnicity VARCHAR(2) ,</v>
      </c>
    </row>
    <row r="95" spans="1:6" x14ac:dyDescent="0.25">
      <c r="A95" s="2">
        <v>94</v>
      </c>
      <c r="B95" s="2" t="s">
        <v>96</v>
      </c>
      <c r="C95" s="2" t="s">
        <v>1079</v>
      </c>
      <c r="D95" s="2" t="s">
        <v>762</v>
      </c>
      <c r="E95">
        <v>1</v>
      </c>
      <c r="F95" s="2" t="str">
        <f>CONCATENATE(B95," ",IF(D95="VARCHAR",CONCATENATE(D95,"(",E95,")"),D95)," ", ",")</f>
        <v>ethnicity_source VARCHAR(1) ,</v>
      </c>
    </row>
    <row r="96" spans="1:6" x14ac:dyDescent="0.25">
      <c r="A96" s="2">
        <v>95</v>
      </c>
      <c r="B96" s="2" t="s">
        <v>97</v>
      </c>
      <c r="C96" s="2" t="s">
        <v>1080</v>
      </c>
      <c r="D96" s="2" t="s">
        <v>762</v>
      </c>
      <c r="E96">
        <v>1</v>
      </c>
      <c r="F96" s="2" t="str">
        <f>CONCATENATE(B96," ",IF(D96="VARCHAR",CONCATENATE(D96,"(",E96,")"),D96)," ", ",")</f>
        <v>language_spoken VARCHAR(1) ,</v>
      </c>
    </row>
    <row r="97" spans="1:6" x14ac:dyDescent="0.25">
      <c r="A97" s="2">
        <v>96</v>
      </c>
      <c r="B97" s="2" t="s">
        <v>98</v>
      </c>
      <c r="C97" s="2" t="s">
        <v>1081</v>
      </c>
      <c r="D97" s="2" t="s">
        <v>762</v>
      </c>
      <c r="E97">
        <v>1</v>
      </c>
      <c r="F97" s="2" t="str">
        <f>CONCATENATE(B97," ",IF(D97="VARCHAR",CONCATENATE(D97,"(",E97,")"),D97)," ", ",")</f>
        <v>language_spoken_source VARCHAR(1) ,</v>
      </c>
    </row>
    <row r="98" spans="1:6" x14ac:dyDescent="0.25">
      <c r="A98" s="2">
        <v>97</v>
      </c>
      <c r="B98" s="2" t="s">
        <v>99</v>
      </c>
      <c r="C98" s="2" t="s">
        <v>1082</v>
      </c>
      <c r="D98" s="2" t="s">
        <v>762</v>
      </c>
      <c r="E98">
        <v>1</v>
      </c>
      <c r="F98" s="2" t="str">
        <f>CONCATENATE(B98," ",IF(D98="VARCHAR",CONCATENATE(D98,"(",E98,")"),D98)," ", ",")</f>
        <v>language_written VARCHAR(1) ,</v>
      </c>
    </row>
    <row r="99" spans="1:6" x14ac:dyDescent="0.25">
      <c r="A99" s="2">
        <v>98</v>
      </c>
      <c r="B99" s="2" t="s">
        <v>100</v>
      </c>
      <c r="C99" s="2" t="s">
        <v>1083</v>
      </c>
      <c r="D99" s="2" t="s">
        <v>762</v>
      </c>
      <c r="E99">
        <v>1</v>
      </c>
      <c r="F99" s="2" t="str">
        <f>CONCATENATE(B99," ",IF(D99="VARCHAR",CONCATENATE(D99,"(",E99,")"),D99)," ", ",")</f>
        <v>language_written_source VARCHAR(1) ,</v>
      </c>
    </row>
    <row r="100" spans="1:6" x14ac:dyDescent="0.25">
      <c r="A100" s="2">
        <v>99</v>
      </c>
      <c r="B100" s="2" t="s">
        <v>101</v>
      </c>
      <c r="C100" s="2" t="s">
        <v>1084</v>
      </c>
      <c r="D100" s="2" t="s">
        <v>762</v>
      </c>
      <c r="E100">
        <v>1</v>
      </c>
      <c r="F100" s="2" t="str">
        <f>CONCATENATE(B100," ",IF(D100="VARCHAR",CONCATENATE(D100,"(",E100,")"),D100)," ", ",")</f>
        <v>language_other VARCHAR(1) ,</v>
      </c>
    </row>
    <row r="101" spans="1:6" x14ac:dyDescent="0.25">
      <c r="A101" s="2">
        <v>100</v>
      </c>
      <c r="B101" s="2" t="s">
        <v>102</v>
      </c>
      <c r="C101" s="2" t="s">
        <v>1085</v>
      </c>
      <c r="D101" s="2" t="s">
        <v>762</v>
      </c>
      <c r="E101">
        <v>1</v>
      </c>
      <c r="F101" s="2" t="str">
        <f>CONCATENATE(B101," ",IF(D101="VARCHAR",CONCATENATE(D101,"(",E101,")"),D101)," ", ",")</f>
        <v>language_other_source VARCHAR(1) ,</v>
      </c>
    </row>
    <row r="102" spans="1:6" x14ac:dyDescent="0.25">
      <c r="A102" s="2">
        <v>101</v>
      </c>
      <c r="B102" s="2" t="s">
        <v>103</v>
      </c>
      <c r="C102" s="2" t="s">
        <v>1086</v>
      </c>
      <c r="D102" s="2" t="s">
        <v>762</v>
      </c>
      <c r="E102">
        <v>100</v>
      </c>
      <c r="F102" s="2" t="str">
        <f>CONCATENATE(B102," ",IF(D102="VARCHAR",CONCATENATE(D102,"(",E102,")"),D102)," ", ",")</f>
        <v>provider_addressline1 VARCHAR(100) ,</v>
      </c>
    </row>
    <row r="103" spans="1:6" x14ac:dyDescent="0.25">
      <c r="A103" s="2">
        <v>102</v>
      </c>
      <c r="B103" s="2" t="s">
        <v>104</v>
      </c>
      <c r="C103" s="2" t="s">
        <v>1087</v>
      </c>
      <c r="D103" s="2" t="s">
        <v>762</v>
      </c>
      <c r="E103">
        <v>100</v>
      </c>
      <c r="F103" s="2" t="str">
        <f>CONCATENATE(B103," ",IF(D103="VARCHAR",CONCATENATE(D103,"(",E103,")"),D103)," ", ",")</f>
        <v>provider_addressline2 VARCHAR(100) ,</v>
      </c>
    </row>
    <row r="104" spans="1:6" x14ac:dyDescent="0.25">
      <c r="A104" s="2">
        <v>103</v>
      </c>
      <c r="B104" s="2" t="s">
        <v>105</v>
      </c>
      <c r="C104" s="2" t="s">
        <v>1088</v>
      </c>
      <c r="D104" s="2" t="s">
        <v>762</v>
      </c>
      <c r="E104">
        <v>21</v>
      </c>
      <c r="F104" s="2" t="str">
        <f>CONCATENATE(B104," ",IF(D104="VARCHAR",CONCATENATE(D104,"(",E104,")"),D104)," ", ",")</f>
        <v>provider_city VARCHAR(21) ,</v>
      </c>
    </row>
    <row r="105" spans="1:6" x14ac:dyDescent="0.25">
      <c r="A105" s="2">
        <v>104</v>
      </c>
      <c r="B105" s="2" t="s">
        <v>107</v>
      </c>
      <c r="C105" s="2" t="s">
        <v>1089</v>
      </c>
      <c r="D105" s="2" t="s">
        <v>762</v>
      </c>
      <c r="E105">
        <v>2</v>
      </c>
      <c r="F105" s="2" t="str">
        <f>CONCATENATE(B105," ",IF(D105="VARCHAR",CONCATENATE(D105,"(",E105,")"),D105)," ", ",")</f>
        <v>provider_statecode VARCHAR(2) ,</v>
      </c>
    </row>
    <row r="106" spans="1:6" x14ac:dyDescent="0.25">
      <c r="A106" s="2">
        <v>105</v>
      </c>
      <c r="B106" s="2" t="s">
        <v>108</v>
      </c>
      <c r="C106" s="2" t="s">
        <v>1090</v>
      </c>
      <c r="D106" s="2" t="s">
        <v>762</v>
      </c>
      <c r="E106">
        <v>9</v>
      </c>
      <c r="F106" s="2" t="str">
        <f>CONCATENATE(B106," ",IF(D106="VARCHAR",CONCATENATE(D106,"(",E106,")"),D106)," ", ",")</f>
        <v>provider_zip VARCHAR(9) ,</v>
      </c>
    </row>
    <row r="107" spans="1:6" x14ac:dyDescent="0.25">
      <c r="A107" s="2">
        <v>106</v>
      </c>
      <c r="B107" s="2" t="s">
        <v>109</v>
      </c>
      <c r="C107" s="2" t="s">
        <v>1091</v>
      </c>
      <c r="D107" s="2" t="s">
        <v>762</v>
      </c>
      <c r="E107">
        <v>13</v>
      </c>
      <c r="F107" s="2" t="str">
        <f>CONCATENATE(B107," ",IF(D107="VARCHAR",CONCATENATE(D107,"(",E107,")"),D107)," ", ",")</f>
        <v>provider_phonenumber1 VARCHAR(13) ,</v>
      </c>
    </row>
    <row r="108" spans="1:6" x14ac:dyDescent="0.25">
      <c r="A108" s="2">
        <v>107</v>
      </c>
      <c r="B108" s="2" t="s">
        <v>110</v>
      </c>
      <c r="C108" s="2" t="s">
        <v>1092</v>
      </c>
      <c r="D108" s="2" t="s">
        <v>762</v>
      </c>
      <c r="E108">
        <v>0</v>
      </c>
      <c r="F108" s="2" t="str">
        <f>CONCATENATE(B108," ",IF(D108="VARCHAR",CONCATENATE(D108,"(",E108,")"),D108)," ", ",")</f>
        <v>provider_phonenumber2 VARCHAR(0) ,</v>
      </c>
    </row>
    <row r="109" spans="1:6" x14ac:dyDescent="0.25">
      <c r="A109" s="2">
        <v>108</v>
      </c>
      <c r="B109" s="2" t="s">
        <v>111</v>
      </c>
      <c r="C109" s="2" t="s">
        <v>1093</v>
      </c>
      <c r="D109" s="2" t="s">
        <v>762</v>
      </c>
      <c r="E109">
        <v>13</v>
      </c>
      <c r="F109" s="2" t="str">
        <f>CONCATENATE(B109," ",IF(D109="VARCHAR",CONCATENATE(D109,"(",E109,")"),D109)," ", ",")</f>
        <v>provider_faxnumber1 VARCHAR(13) ,</v>
      </c>
    </row>
    <row r="110" spans="1:6" x14ac:dyDescent="0.25">
      <c r="A110" s="2">
        <v>109</v>
      </c>
      <c r="B110" s="2" t="s">
        <v>112</v>
      </c>
      <c r="C110" s="2" t="s">
        <v>803</v>
      </c>
      <c r="D110" s="2" t="s">
        <v>762</v>
      </c>
      <c r="E110">
        <v>0</v>
      </c>
      <c r="F110" s="2" t="str">
        <f>CONCATENATE(B110," ",IF(D110="VARCHAR",CONCATENATE(D110,"(",E110,")"),D110)," ", ",")</f>
        <v>provider_alt_id1 VARCHAR(0) ,</v>
      </c>
    </row>
    <row r="111" spans="1:6" x14ac:dyDescent="0.25">
      <c r="A111" s="2">
        <v>110</v>
      </c>
      <c r="B111" s="2" t="s">
        <v>113</v>
      </c>
      <c r="C111" s="2" t="s">
        <v>804</v>
      </c>
      <c r="D111" s="2" t="s">
        <v>762</v>
      </c>
      <c r="E111">
        <v>9</v>
      </c>
      <c r="F111" s="2" t="str">
        <f>CONCATENATE(B111," ",IF(D111="VARCHAR",CONCATENATE(D111,"(",E111,")"),D111)," ", ",")</f>
        <v>provider_alt_id2 VARCHAR(9) ,</v>
      </c>
    </row>
    <row r="112" spans="1:6" x14ac:dyDescent="0.25">
      <c r="A112" s="2">
        <v>111</v>
      </c>
      <c r="B112" s="2" t="s">
        <v>114</v>
      </c>
      <c r="C112" s="2" t="s">
        <v>805</v>
      </c>
      <c r="D112" s="2" t="s">
        <v>762</v>
      </c>
      <c r="E112">
        <v>9</v>
      </c>
      <c r="F112" s="2" t="str">
        <f>CONCATENATE(B112," ",IF(D112="VARCHAR",CONCATENATE(D112,"(",E112,")"),D112)," ", ",")</f>
        <v>provider_alt_id3 VARCHAR(9) ,</v>
      </c>
    </row>
    <row r="113" spans="1:6" x14ac:dyDescent="0.25">
      <c r="A113" s="2">
        <v>112</v>
      </c>
      <c r="B113" s="2" t="s">
        <v>115</v>
      </c>
      <c r="C113" s="2" t="s">
        <v>806</v>
      </c>
      <c r="D113" s="2" t="s">
        <v>762</v>
      </c>
      <c r="E113">
        <v>3</v>
      </c>
      <c r="F113" s="2" t="str">
        <f>CONCATENATE(B113," ",IF(D113="VARCHAR",CONCATENATE(D113,"(",E113,")"),D113)," ", ",")</f>
        <v>provider_alt_id4 VARCHAR(3) ,</v>
      </c>
    </row>
    <row r="114" spans="1:6" x14ac:dyDescent="0.25">
      <c r="A114" s="2">
        <v>113</v>
      </c>
      <c r="B114" s="2" t="s">
        <v>117</v>
      </c>
      <c r="C114" s="2" t="s">
        <v>807</v>
      </c>
      <c r="D114" s="2" t="s">
        <v>762</v>
      </c>
      <c r="E114">
        <v>10</v>
      </c>
      <c r="F114" s="2" t="str">
        <f>CONCATENATE(B114," ",IF(D114="VARCHAR",CONCATENATE(D114,"(",E114,")"),D114)," ", ",")</f>
        <v>provider_alt_id5 VARCHAR(10) ,</v>
      </c>
    </row>
    <row r="115" spans="1:6" x14ac:dyDescent="0.25">
      <c r="A115" s="2">
        <v>114</v>
      </c>
      <c r="B115" s="2" t="s">
        <v>118</v>
      </c>
      <c r="C115" s="2" t="s">
        <v>808</v>
      </c>
      <c r="D115" s="2" t="s">
        <v>762</v>
      </c>
      <c r="E115">
        <v>0</v>
      </c>
      <c r="F115" s="2" t="str">
        <f>CONCATENATE(B115," ",IF(D115="VARCHAR",CONCATENATE(D115,"(",E115,")"),D115)," ", ",")</f>
        <v>provider_alt_id6 VARCHAR(0) ,</v>
      </c>
    </row>
    <row r="116" spans="1:6" x14ac:dyDescent="0.25">
      <c r="A116" s="2">
        <v>115</v>
      </c>
      <c r="B116" s="2" t="s">
        <v>119</v>
      </c>
      <c r="C116" s="2" t="s">
        <v>809</v>
      </c>
      <c r="D116" s="2" t="s">
        <v>762</v>
      </c>
      <c r="E116">
        <v>0</v>
      </c>
      <c r="F116" s="2" t="str">
        <f>CONCATENATE(B116," ",IF(D116="VARCHAR",CONCATENATE(D116,"(",E116,")"),D116)," ", ",")</f>
        <v>provider_alt_id7 VARCHAR(0) ,</v>
      </c>
    </row>
    <row r="117" spans="1:6" x14ac:dyDescent="0.25">
      <c r="A117" s="2">
        <v>116</v>
      </c>
      <c r="B117" s="2" t="s">
        <v>120</v>
      </c>
      <c r="C117" s="2" t="s">
        <v>810</v>
      </c>
      <c r="D117" s="2" t="s">
        <v>762</v>
      </c>
      <c r="E117">
        <v>0</v>
      </c>
      <c r="F117" s="2" t="str">
        <f>CONCATENATE(B117," ",IF(D117="VARCHAR",CONCATENATE(D117,"(",E117,")"),D117)," ", ",")</f>
        <v>provider_alt_id8 VARCHAR(0) ,</v>
      </c>
    </row>
    <row r="118" spans="1:6" x14ac:dyDescent="0.25">
      <c r="A118" s="2">
        <v>117</v>
      </c>
      <c r="B118" s="2" t="s">
        <v>121</v>
      </c>
      <c r="C118" s="2" t="s">
        <v>1094</v>
      </c>
      <c r="D118" s="2" t="s">
        <v>762</v>
      </c>
      <c r="E118">
        <v>0</v>
      </c>
      <c r="F118" s="2" t="str">
        <f>CONCATENATE(B118," ",IF(D118="VARCHAR",CONCATENATE(D118,"(",E118,")"),D118)," ", ",")</f>
        <v>facility_code VARCHAR(0) ,</v>
      </c>
    </row>
    <row r="119" spans="1:6" x14ac:dyDescent="0.25">
      <c r="A119" s="2">
        <v>118</v>
      </c>
      <c r="B119" s="2" t="s">
        <v>122</v>
      </c>
      <c r="D119" s="2" t="s">
        <v>762</v>
      </c>
      <c r="E119">
        <v>16</v>
      </c>
      <c r="F119" s="2" t="str">
        <f>CONCATENATE(B119," ",IF(D119="VARCHAR",CONCATENATE(D119,"(",E119,")"),D119)," ", ",")</f>
        <v>plan_code VARCHAR(16) ,</v>
      </c>
    </row>
    <row r="120" spans="1:6" x14ac:dyDescent="0.25">
      <c r="A120" s="2">
        <v>119</v>
      </c>
      <c r="B120" s="2" t="s">
        <v>124</v>
      </c>
      <c r="D120" s="2" t="s">
        <v>762</v>
      </c>
      <c r="E120">
        <v>12</v>
      </c>
      <c r="F120" s="2" t="str">
        <f>CONCATENATE(B120," ",IF(D120="VARCHAR",CONCATENATE(D120,"(",E120,")"),D120)," ", ",")</f>
        <v>member_group_code VARCHAR(12) ,</v>
      </c>
    </row>
    <row r="121" spans="1:6" x14ac:dyDescent="0.25">
      <c r="A121" s="2">
        <v>120</v>
      </c>
      <c r="B121" s="2" t="s">
        <v>757</v>
      </c>
      <c r="D121" s="2" t="s">
        <v>762</v>
      </c>
      <c r="E121">
        <v>100</v>
      </c>
      <c r="F121" s="2" t="str">
        <f>CONCATENATE(B121," ",IF(D121="VARCHAR",CONCATENATE(D121,"(",E121,")"),D121)," ", ",")</f>
        <v>filename VARCHAR(100) ,</v>
      </c>
    </row>
  </sheetData>
  <autoFilter ref="B1:E1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QSIXL_MEASURE_DETAIL</vt:lpstr>
      <vt:lpstr>QSIXL_MEASURE_FLAGGED_EVENT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HCSC User</dc:creator>
  <cp:lastModifiedBy>HCSC User</cp:lastModifiedBy>
  <dcterms:created xsi:type="dcterms:W3CDTF">2018-01-17T18:11:06Z</dcterms:created>
  <dcterms:modified xsi:type="dcterms:W3CDTF">2018-02-02T20:31:10Z</dcterms:modified>
</cp:coreProperties>
</file>